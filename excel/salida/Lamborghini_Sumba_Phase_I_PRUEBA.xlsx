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hase I Dashboard" sheetId="1" state="visible" r:id="rId1"/>
    <sheet name="Assumptions" sheetId="2" state="visible" r:id="rId2"/>
    <sheet name="Calculations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€#,##0;[Red](€#,##0);-"/>
    <numFmt numFmtId="166" formatCode="0.0%;[Red](0.0%);-"/>
  </numFmts>
  <fonts count="1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color rgb="FF0000FF"/>
      <sz val="11"/>
    </font>
    <font>
      <name val="Carlito"/>
      <b val="1"/>
      <color rgb="FFFFFFFF"/>
      <sz val="18"/>
    </font>
    <font>
      <name val="Carlito"/>
      <b val="1"/>
      <color rgb="FFFFFFFF"/>
      <sz val="14"/>
    </font>
    <font>
      <name val="Carlito"/>
      <b val="1"/>
      <color rgb="FFD6B35A"/>
      <sz val="12"/>
    </font>
    <font>
      <name val="Carlito"/>
      <b val="1"/>
      <color rgb="FF2E6B2E"/>
      <sz val="11"/>
    </font>
    <font>
      <name val="Carlito"/>
      <b val="1"/>
      <color rgb="FFD6B35A"/>
      <sz val="18"/>
    </font>
    <font>
      <name val="Carlito"/>
      <b val="1"/>
      <color rgb="FF000000"/>
      <sz val="12"/>
    </font>
    <font>
      <name val="Carlito"/>
      <b val="1"/>
      <color rgb="FFD6B35A"/>
      <sz val="11"/>
    </font>
    <font>
      <name val="Carlito"/>
      <color rgb="FF000000"/>
      <sz val="11"/>
    </font>
    <font>
      <name val="Carlito"/>
      <sz val="9"/>
    </font>
  </fonts>
  <fills count="11">
    <fill>
      <patternFill/>
    </fill>
    <fill>
      <patternFill patternType="gray125"/>
    </fill>
    <fill>
      <patternFill patternType="solid">
        <fgColor rgb="FF050505"/>
      </patternFill>
    </fill>
    <fill>
      <patternFill patternType="solid">
        <fgColor rgb="FFFBF7EF"/>
      </patternFill>
    </fill>
    <fill>
      <patternFill patternType="solid">
        <fgColor rgb="FF171717"/>
      </patternFill>
    </fill>
    <fill>
      <patternFill patternType="solid">
        <fgColor rgb="FFF3E3B7"/>
      </patternFill>
    </fill>
    <fill>
      <patternFill patternType="solid">
        <fgColor rgb="FFEEE0BD"/>
      </patternFill>
    </fill>
    <fill>
      <patternFill patternType="solid">
        <fgColor rgb="FFB88A22"/>
      </patternFill>
    </fill>
    <fill>
      <patternFill patternType="solid">
        <fgColor rgb="FFF1E3C2"/>
      </patternFill>
    </fill>
    <fill>
      <patternFill patternType="solid">
        <fgColor rgb="FFE8D19A"/>
      </patternFill>
    </fill>
    <fill>
      <patternFill patternType="solid">
        <fgColor rgb="FFF7F1E3"/>
      </patternFill>
    </fill>
  </fills>
  <borders count="24">
    <border/>
    <border/>
    <border>
      <right/>
      <bottom/>
    </border>
    <border>
      <left/>
      <right/>
      <bottom/>
    </border>
    <border>
      <left/>
      <bottom/>
    </border>
    <border>
      <right/>
      <top/>
      <bottom/>
    </border>
    <border>
      <left/>
      <right/>
      <top/>
      <bottom/>
    </border>
    <border>
      <left/>
      <top/>
      <bottom/>
    </border>
    <border>
      <right/>
      <bottom/>
    </border>
    <border>
      <left/>
      <right/>
      <bottom/>
    </border>
    <border>
      <left/>
      <bottom/>
    </border>
    <border>
      <right/>
      <top/>
      <bottom/>
    </border>
    <border>
      <left/>
      <right/>
      <top/>
      <bottom/>
    </border>
    <border>
      <left/>
      <top/>
      <bottom/>
    </border>
    <border>
      <bottom/>
    </border>
    <border>
      <top/>
      <bottom/>
    </border>
    <border>
      <bottom/>
    </border>
    <border>
      <top/>
      <bottom/>
    </border>
    <border>
      <right/>
      <top/>
    </border>
    <border>
      <left/>
      <right/>
      <top/>
    </border>
    <border>
      <left/>
      <top/>
    </border>
    <border>
      <right/>
      <top/>
    </border>
    <border>
      <left/>
      <right/>
      <top/>
    </border>
    <border>
      <left/>
      <top/>
    </border>
  </borders>
  <cellStyleXfs count="1">
    <xf numFmtId="0" fontId="0" fillId="0" borderId="1"/>
  </cellStyleXfs>
  <cellXfs count="34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164" fontId="3" fillId="0" borderId="0" pivotButton="0" quotePrefix="0" xfId="0"/>
    <xf numFmtId="164" fontId="3" fillId="0" borderId="1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2" fillId="0" borderId="5" pivotButton="0" quotePrefix="0" xfId="0"/>
    <xf numFmtId="0" fontId="3" fillId="0" borderId="6" pivotButton="0" quotePrefix="0" xfId="0"/>
    <xf numFmtId="0" fontId="0" fillId="0" borderId="6" pivotButton="0" quotePrefix="0" xfId="0"/>
    <xf numFmtId="0" fontId="0" fillId="0" borderId="7" pivotButton="0" quotePrefix="0" xfId="0"/>
    <xf numFmtId="164" fontId="3" fillId="0" borderId="6" pivotButton="0" quotePrefix="0" xfId="0"/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2" fillId="0" borderId="11" pivotButton="0" quotePrefix="0" xfId="0"/>
    <xf numFmtId="0" fontId="3" fillId="0" borderId="12" pivotButton="0" quotePrefix="0" xfId="0"/>
    <xf numFmtId="0" fontId="0" fillId="0" borderId="12" pivotButton="0" quotePrefix="0" xfId="0"/>
    <xf numFmtId="0" fontId="0" fillId="0" borderId="13" pivotButton="0" quotePrefix="0" xfId="0"/>
    <xf numFmtId="164" fontId="3" fillId="0" borderId="12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1" pivotButton="0" quotePrefix="0" xfId="0"/>
    <xf numFmtId="165" fontId="0" fillId="3" borderId="0" pivotButton="0" quotePrefix="0" xfId="0"/>
    <xf numFmtId="165" fontId="0" fillId="3" borderId="1" pivotButton="0" quotePrefix="0" xfId="0"/>
    <xf numFmtId="0" fontId="2" fillId="5" borderId="0" pivotButton="0" quotePrefix="0" xfId="0"/>
    <xf numFmtId="165" fontId="0" fillId="5" borderId="0" pivotButton="0" quotePrefix="0" xfId="0"/>
    <xf numFmtId="165" fontId="2" fillId="5" borderId="0" pivotButton="0" quotePrefix="0" xfId="0"/>
    <xf numFmtId="0" fontId="2" fillId="5" borderId="1" pivotButton="0" quotePrefix="0" xfId="0"/>
    <xf numFmtId="165" fontId="0" fillId="5" borderId="1" pivotButton="0" quotePrefix="0" xfId="0"/>
    <xf numFmtId="165" fontId="2" fillId="5" borderId="1" pivotButton="0" quotePrefix="0" xfId="0"/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0" fillId="6" borderId="1" pivotButton="0" quotePrefix="0" xfId="0"/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0" fillId="7" borderId="0" pivotButton="0" quotePrefix="0" xfId="0"/>
    <xf numFmtId="0" fontId="1" fillId="7" borderId="0" pivotButton="0" quotePrefix="0" xfId="0"/>
    <xf numFmtId="0" fontId="0" fillId="7" borderId="1" pivotButton="0" quotePrefix="0" xfId="0"/>
    <xf numFmtId="0" fontId="1" fillId="7" borderId="1" pivotButton="0" quotePrefix="0" xfId="0"/>
    <xf numFmtId="0" fontId="0" fillId="8" borderId="0" pivotButton="0" quotePrefix="0" xfId="0"/>
    <xf numFmtId="0" fontId="2" fillId="8" borderId="0" pivotButton="0" quotePrefix="0" xfId="0"/>
    <xf numFmtId="0" fontId="0" fillId="8" borderId="1" pivotButton="0" quotePrefix="0" xfId="0"/>
    <xf numFmtId="0" fontId="2" fillId="8" borderId="1" pivotButton="0" quotePrefix="0" xfId="0"/>
    <xf numFmtId="165" fontId="2" fillId="8" borderId="0" pivotButton="0" quotePrefix="0" xfId="0"/>
    <xf numFmtId="165" fontId="1" fillId="7" borderId="0" pivotButton="0" quotePrefix="0" xfId="0"/>
    <xf numFmtId="165" fontId="2" fillId="8" borderId="1" pivotButton="0" quotePrefix="0" xfId="0"/>
    <xf numFmtId="165" fontId="1" fillId="7" borderId="1" pivotButton="0" quotePrefix="0" xfId="0"/>
    <xf numFmtId="166" fontId="0" fillId="3" borderId="0" pivotButton="0" quotePrefix="0" xfId="0"/>
    <xf numFmtId="166" fontId="2" fillId="8" borderId="0" pivotButton="0" quotePrefix="0" xfId="0"/>
    <xf numFmtId="166" fontId="1" fillId="7" borderId="0" pivotButton="0" quotePrefix="0" xfId="0"/>
    <xf numFmtId="166" fontId="0" fillId="3" borderId="1" pivotButton="0" quotePrefix="0" xfId="0"/>
    <xf numFmtId="166" fontId="2" fillId="8" borderId="1" pivotButton="0" quotePrefix="0" xfId="0"/>
    <xf numFmtId="166" fontId="1" fillId="7" borderId="1" pivotButton="0" quotePrefix="0" xfId="0"/>
    <xf numFmtId="0" fontId="0" fillId="3" borderId="14" pivotButton="0" quotePrefix="0" xfId="0"/>
    <xf numFmtId="0" fontId="0" fillId="3" borderId="15" pivotButton="0" quotePrefix="0" xfId="0"/>
    <xf numFmtId="0" fontId="0" fillId="3" borderId="16" pivotButton="0" quotePrefix="0" xfId="0"/>
    <xf numFmtId="0" fontId="0" fillId="3" borderId="17" pivotButton="0" quotePrefix="0" xfId="0"/>
    <xf numFmtId="0" fontId="2" fillId="3" borderId="14" pivotButton="0" quotePrefix="0" xfId="0"/>
    <xf numFmtId="0" fontId="2" fillId="3" borderId="15" pivotButton="0" quotePrefix="0" xfId="0"/>
    <xf numFmtId="0" fontId="2" fillId="3" borderId="16" pivotButton="0" quotePrefix="0" xfId="0"/>
    <xf numFmtId="0" fontId="2" fillId="3" borderId="17" pivotButton="0" quotePrefix="0" xfId="0"/>
    <xf numFmtId="165" fontId="0" fillId="3" borderId="14" pivotButton="0" quotePrefix="0" xfId="0"/>
    <xf numFmtId="165" fontId="0" fillId="3" borderId="15" pivotButton="0" quotePrefix="0" xfId="0"/>
    <xf numFmtId="165" fontId="0" fillId="3" borderId="16" pivotButton="0" quotePrefix="0" xfId="0"/>
    <xf numFmtId="165" fontId="0" fillId="3" borderId="17" pivotButton="0" quotePrefix="0" xfId="0"/>
    <xf numFmtId="0" fontId="2" fillId="9" borderId="15" pivotButton="0" quotePrefix="0" xfId="0"/>
    <xf numFmtId="165" fontId="0" fillId="9" borderId="15" pivotButton="0" quotePrefix="0" xfId="0"/>
    <xf numFmtId="0" fontId="7" fillId="9" borderId="15" pivotButton="0" quotePrefix="0" xfId="0"/>
    <xf numFmtId="165" fontId="7" fillId="9" borderId="15" pivotButton="0" quotePrefix="0" xfId="0"/>
    <xf numFmtId="0" fontId="2" fillId="9" borderId="17" pivotButton="0" quotePrefix="0" xfId="0"/>
    <xf numFmtId="165" fontId="0" fillId="9" borderId="17" pivotButton="0" quotePrefix="0" xfId="0"/>
    <xf numFmtId="0" fontId="7" fillId="9" borderId="17" pivotButton="0" quotePrefix="0" xfId="0"/>
    <xf numFmtId="165" fontId="7" fillId="9" borderId="17" pivotButton="0" quotePrefix="0" xfId="0"/>
    <xf numFmtId="0" fontId="7" fillId="8" borderId="0" pivotButton="0" quotePrefix="0" xfId="0"/>
    <xf numFmtId="0" fontId="7" fillId="8" borderId="1" pivotButton="0" quotePrefix="0" xfId="0"/>
    <xf numFmtId="165" fontId="7" fillId="8" borderId="0" pivotButton="0" quotePrefix="0" xfId="0"/>
    <xf numFmtId="165" fontId="7" fillId="8" borderId="1" pivotButton="0" quotePrefix="0" xfId="0"/>
    <xf numFmtId="0" fontId="8" fillId="2" borderId="0" pivotButton="0" quotePrefix="0" xfId="0"/>
    <xf numFmtId="0" fontId="8" fillId="2" borderId="0" applyAlignment="1" pivotButton="0" quotePrefix="0" xfId="0">
      <alignment wrapText="1"/>
    </xf>
    <xf numFmtId="0" fontId="8" fillId="2" borderId="0" applyAlignment="1" pivotButton="0" quotePrefix="0" xfId="0">
      <alignment horizontal="center" wrapText="1"/>
    </xf>
    <xf numFmtId="0" fontId="8" fillId="2" borderId="0" applyAlignment="1" pivotButton="0" quotePrefix="0" xfId="0">
      <alignment horizontal="center" vertical="center" wrapText="1"/>
    </xf>
    <xf numFmtId="0" fontId="8" fillId="2" borderId="1" pivotButton="0" quotePrefix="0" xfId="0"/>
    <xf numFmtId="0" fontId="8" fillId="2" borderId="1" applyAlignment="1" pivotButton="0" quotePrefix="0" xfId="0">
      <alignment wrapText="1"/>
    </xf>
    <xf numFmtId="0" fontId="8" fillId="2" borderId="1" applyAlignment="1" pivotButton="0" quotePrefix="0" xfId="0">
      <alignment horizontal="center" wrapText="1"/>
    </xf>
    <xf numFmtId="0" fontId="8" fillId="2" borderId="1" applyAlignment="1" pivotButton="0" quotePrefix="0" xfId="0">
      <alignment horizontal="center" vertical="center" wrapText="1"/>
    </xf>
    <xf numFmtId="165" fontId="0" fillId="8" borderId="0" pivotButton="0" quotePrefix="0" xfId="0"/>
    <xf numFmtId="165" fontId="0" fillId="8" borderId="1" pivotButton="0" quotePrefix="0" xfId="0"/>
    <xf numFmtId="0" fontId="0" fillId="10" borderId="0" pivotButton="0" quotePrefix="0" xfId="0"/>
    <xf numFmtId="0" fontId="9" fillId="10" borderId="0" pivotButton="0" quotePrefix="0" xfId="0"/>
    <xf numFmtId="0" fontId="9" fillId="10" borderId="0" applyAlignment="1" pivotButton="0" quotePrefix="0" xfId="0">
      <alignment wrapText="1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 vertical="center" wrapText="1"/>
    </xf>
    <xf numFmtId="0" fontId="0" fillId="10" borderId="1" pivotButton="0" quotePrefix="0" xfId="0"/>
    <xf numFmtId="0" fontId="9" fillId="10" borderId="1" pivotButton="0" quotePrefix="0" xfId="0"/>
    <xf numFmtId="0" fontId="9" fillId="10" borderId="1" applyAlignment="1" pivotButton="0" quotePrefix="0" xfId="0">
      <alignment wrapText="1"/>
    </xf>
    <xf numFmtId="0" fontId="9" fillId="10" borderId="1" applyAlignment="1" pivotButton="0" quotePrefix="0" xfId="0">
      <alignment horizontal="center" wrapText="1"/>
    </xf>
    <xf numFmtId="0" fontId="9" fillId="10" borderId="1" applyAlignment="1" pivotButton="0" quotePrefix="0" xfId="0">
      <alignment horizontal="center" vertical="center" wrapText="1"/>
    </xf>
    <xf numFmtId="0" fontId="2" fillId="10" borderId="0" pivotButton="0" quotePrefix="0" xfId="0"/>
    <xf numFmtId="0" fontId="2" fillId="10" borderId="0" applyAlignment="1" pivotButton="0" quotePrefix="0" xfId="0">
      <alignment wrapText="1"/>
    </xf>
    <xf numFmtId="0" fontId="2" fillId="10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vertical="center" wrapText="1"/>
    </xf>
    <xf numFmtId="0" fontId="2" fillId="10" borderId="1" pivotButton="0" quotePrefix="0" xfId="0"/>
    <xf numFmtId="0" fontId="2" fillId="10" borderId="1" applyAlignment="1" pivotButton="0" quotePrefix="0" xfId="0">
      <alignment wrapText="1"/>
    </xf>
    <xf numFmtId="0" fontId="2" fillId="10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10" fillId="2" borderId="0" applyAlignment="1" pivotButton="0" quotePrefix="0" xfId="0">
      <alignment horizontal="center"/>
    </xf>
    <xf numFmtId="0" fontId="10" fillId="2" borderId="1" pivotButton="0" quotePrefix="0" xfId="0"/>
    <xf numFmtId="0" fontId="10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/>
    </xf>
    <xf numFmtId="0" fontId="0" fillId="3" borderId="6" pivotButton="0" quotePrefix="0" xfId="0"/>
    <xf numFmtId="0" fontId="0" fillId="3" borderId="7" pivotButton="0" quotePrefix="0" xfId="0"/>
    <xf numFmtId="0" fontId="1" fillId="7" borderId="6" pivotButton="0" quotePrefix="0" xfId="0"/>
    <xf numFmtId="0" fontId="2" fillId="3" borderId="6" pivotButton="0" quotePrefix="0" xfId="0"/>
    <xf numFmtId="165" fontId="0" fillId="3" borderId="6" pivotButton="0" quotePrefix="0" xfId="0"/>
    <xf numFmtId="166" fontId="0" fillId="3" borderId="6" pivotButton="0" quotePrefix="0" xfId="0"/>
    <xf numFmtId="0" fontId="2" fillId="8" borderId="6" pivotButton="0" quotePrefix="0" xfId="0"/>
    <xf numFmtId="165" fontId="2" fillId="8" borderId="6" pivotButton="0" quotePrefix="0" xfId="0"/>
    <xf numFmtId="166" fontId="2" fillId="8" borderId="6" pivotButton="0" quotePrefix="0" xfId="0"/>
    <xf numFmtId="165" fontId="1" fillId="7" borderId="6" pivotButton="0" quotePrefix="0" xfId="0"/>
    <xf numFmtId="166" fontId="1" fillId="7" borderId="6" pivotButton="0" quotePrefix="0" xfId="0"/>
    <xf numFmtId="0" fontId="7" fillId="8" borderId="6" pivotButton="0" quotePrefix="0" xfId="0"/>
    <xf numFmtId="165" fontId="7" fillId="8" borderId="6" pivotButton="0" quotePrefix="0" xfId="0"/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7" fillId="9" borderId="6" pivotButton="0" quotePrefix="0" xfId="0"/>
    <xf numFmtId="165" fontId="7" fillId="9" borderId="6" pivotButton="0" quotePrefix="0" xfId="0"/>
    <xf numFmtId="0" fontId="6" fillId="2" borderId="5" applyAlignment="1" pivotButton="0" quotePrefix="0" xfId="0">
      <alignment horizontal="center" vertical="center"/>
    </xf>
    <xf numFmtId="0" fontId="2" fillId="3" borderId="5" pivotButton="0" quotePrefix="0" xfId="0"/>
    <xf numFmtId="0" fontId="2" fillId="5" borderId="6" pivotButton="0" quotePrefix="0" xfId="0"/>
    <xf numFmtId="165" fontId="2" fillId="5" borderId="6" pivotButton="0" quotePrefix="0" xfId="0"/>
    <xf numFmtId="0" fontId="9" fillId="10" borderId="6" applyAlignment="1" pivotButton="0" quotePrefix="0" xfId="0">
      <alignment horizontal="center" vertical="center" wrapText="1"/>
    </xf>
    <xf numFmtId="0" fontId="9" fillId="10" borderId="7" applyAlignment="1" pivotButton="0" quotePrefix="0" xfId="0">
      <alignment horizontal="center" vertical="center" wrapText="1"/>
    </xf>
    <xf numFmtId="0" fontId="0" fillId="3" borderId="5" pivotButton="0" quotePrefix="0" xfId="0"/>
    <xf numFmtId="0" fontId="2" fillId="10" borderId="6" applyAlignment="1" pivotButton="0" quotePrefix="0" xfId="0">
      <alignment horizontal="center" vertical="center" wrapText="1"/>
    </xf>
    <xf numFmtId="0" fontId="2" fillId="10" borderId="7" applyAlignment="1" pivotButton="0" quotePrefix="0" xfId="0">
      <alignment horizontal="center" vertical="center" wrapText="1"/>
    </xf>
    <xf numFmtId="0" fontId="2" fillId="8" borderId="5" pivotButton="0" quotePrefix="0" xfId="0"/>
    <xf numFmtId="0" fontId="2" fillId="10" borderId="5" applyAlignment="1" pivotButton="0" quotePrefix="0" xfId="0">
      <alignment horizontal="center" vertical="center" wrapText="1"/>
    </xf>
    <xf numFmtId="0" fontId="0" fillId="3" borderId="18" pivotButton="0" quotePrefix="0" xfId="0"/>
    <xf numFmtId="0" fontId="0" fillId="3" borderId="19" pivotButton="0" quotePrefix="0" xfId="0"/>
    <xf numFmtId="0" fontId="10" fillId="2" borderId="19" applyAlignment="1" pivotButton="0" quotePrefix="0" xfId="0">
      <alignment horizontal="center"/>
    </xf>
    <xf numFmtId="0" fontId="10" fillId="2" borderId="20" applyAlignment="1" pivotButton="0" quotePrefix="0" xfId="0">
      <alignment horizont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/>
    </xf>
    <xf numFmtId="0" fontId="0" fillId="3" borderId="12" pivotButton="0" quotePrefix="0" xfId="0"/>
    <xf numFmtId="0" fontId="0" fillId="3" borderId="13" pivotButton="0" quotePrefix="0" xfId="0"/>
    <xf numFmtId="0" fontId="1" fillId="7" borderId="12" pivotButton="0" quotePrefix="0" xfId="0"/>
    <xf numFmtId="0" fontId="2" fillId="3" borderId="12" pivotButton="0" quotePrefix="0" xfId="0"/>
    <xf numFmtId="165" fontId="0" fillId="3" borderId="12" pivotButton="0" quotePrefix="0" xfId="0"/>
    <xf numFmtId="166" fontId="0" fillId="3" borderId="12" pivotButton="0" quotePrefix="0" xfId="0"/>
    <xf numFmtId="0" fontId="2" fillId="8" borderId="12" pivotButton="0" quotePrefix="0" xfId="0"/>
    <xf numFmtId="165" fontId="2" fillId="8" borderId="12" pivotButton="0" quotePrefix="0" xfId="0"/>
    <xf numFmtId="166" fontId="2" fillId="8" borderId="12" pivotButton="0" quotePrefix="0" xfId="0"/>
    <xf numFmtId="165" fontId="1" fillId="7" borderId="12" pivotButton="0" quotePrefix="0" xfId="0"/>
    <xf numFmtId="166" fontId="1" fillId="7" borderId="12" pivotButton="0" quotePrefix="0" xfId="0"/>
    <xf numFmtId="0" fontId="7" fillId="8" borderId="12" pivotButton="0" quotePrefix="0" xfId="0"/>
    <xf numFmtId="165" fontId="7" fillId="8" borderId="12" pivotButton="0" quotePrefix="0" xfId="0"/>
    <xf numFmtId="0" fontId="8" fillId="2" borderId="12" applyAlignment="1" pivotButton="0" quotePrefix="0" xfId="0">
      <alignment horizontal="center" vertical="center" wrapText="1"/>
    </xf>
    <xf numFmtId="0" fontId="8" fillId="2" borderId="13" applyAlignment="1" pivotButton="0" quotePrefix="0" xfId="0">
      <alignment horizontal="center" vertical="center" wrapText="1"/>
    </xf>
    <xf numFmtId="0" fontId="7" fillId="9" borderId="12" pivotButton="0" quotePrefix="0" xfId="0"/>
    <xf numFmtId="165" fontId="7" fillId="9" borderId="12" pivotButton="0" quotePrefix="0" xfId="0"/>
    <xf numFmtId="0" fontId="6" fillId="2" borderId="11" applyAlignment="1" pivotButton="0" quotePrefix="0" xfId="0">
      <alignment horizontal="center" vertical="center"/>
    </xf>
    <xf numFmtId="0" fontId="2" fillId="3" borderId="11" pivotButton="0" quotePrefix="0" xfId="0"/>
    <xf numFmtId="0" fontId="2" fillId="5" borderId="12" pivotButton="0" quotePrefix="0" xfId="0"/>
    <xf numFmtId="165" fontId="2" fillId="5" borderId="12" pivotButton="0" quotePrefix="0" xfId="0"/>
    <xf numFmtId="0" fontId="9" fillId="10" borderId="12" applyAlignment="1" pivotButton="0" quotePrefix="0" xfId="0">
      <alignment horizontal="center" vertical="center" wrapText="1"/>
    </xf>
    <xf numFmtId="0" fontId="9" fillId="10" borderId="13" applyAlignment="1" pivotButton="0" quotePrefix="0" xfId="0">
      <alignment horizontal="center" vertical="center" wrapText="1"/>
    </xf>
    <xf numFmtId="0" fontId="0" fillId="3" borderId="11" pivotButton="0" quotePrefix="0" xfId="0"/>
    <xf numFmtId="0" fontId="2" fillId="10" borderId="12" applyAlignment="1" pivotButton="0" quotePrefix="0" xfId="0">
      <alignment horizontal="center" vertical="center" wrapText="1"/>
    </xf>
    <xf numFmtId="0" fontId="2" fillId="10" borderId="13" applyAlignment="1" pivotButton="0" quotePrefix="0" xfId="0">
      <alignment horizontal="center" vertical="center" wrapText="1"/>
    </xf>
    <xf numFmtId="0" fontId="2" fillId="8" borderId="11" pivotButton="0" quotePrefix="0" xfId="0"/>
    <xf numFmtId="0" fontId="2" fillId="10" borderId="11" applyAlignment="1" pivotButton="0" quotePrefix="0" xfId="0">
      <alignment horizontal="center" vertical="center" wrapText="1"/>
    </xf>
    <xf numFmtId="0" fontId="0" fillId="3" borderId="21" pivotButton="0" quotePrefix="0" xfId="0"/>
    <xf numFmtId="0" fontId="0" fillId="3" borderId="22" pivotButton="0" quotePrefix="0" xfId="0"/>
    <xf numFmtId="0" fontId="10" fillId="2" borderId="22" applyAlignment="1" pivotButton="0" quotePrefix="0" xfId="0">
      <alignment horizontal="center"/>
    </xf>
    <xf numFmtId="0" fontId="10" fillId="2" borderId="23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wrapText="1"/>
    </xf>
    <xf numFmtId="0" fontId="0" fillId="3" borderId="6" applyAlignment="1" pivotButton="0" quotePrefix="0" xfId="0">
      <alignment wrapText="1"/>
    </xf>
    <xf numFmtId="0" fontId="0" fillId="3" borderId="7" applyAlignment="1" pivotButton="0" quotePrefix="0" xfId="0">
      <alignment wrapText="1"/>
    </xf>
    <xf numFmtId="0" fontId="1" fillId="7" borderId="6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165" fontId="0" fillId="3" borderId="6" applyAlignment="1" pivotButton="0" quotePrefix="0" xfId="0">
      <alignment wrapText="1"/>
    </xf>
    <xf numFmtId="166" fontId="0" fillId="3" borderId="6" applyAlignment="1" pivotButton="0" quotePrefix="0" xfId="0">
      <alignment wrapText="1"/>
    </xf>
    <xf numFmtId="0" fontId="2" fillId="8" borderId="6" applyAlignment="1" pivotButton="0" quotePrefix="0" xfId="0">
      <alignment wrapText="1"/>
    </xf>
    <xf numFmtId="165" fontId="2" fillId="8" borderId="6" applyAlignment="1" pivotButton="0" quotePrefix="0" xfId="0">
      <alignment wrapText="1"/>
    </xf>
    <xf numFmtId="166" fontId="2" fillId="8" borderId="6" applyAlignment="1" pivotButton="0" quotePrefix="0" xfId="0">
      <alignment wrapText="1"/>
    </xf>
    <xf numFmtId="165" fontId="1" fillId="7" borderId="6" applyAlignment="1" pivotButton="0" quotePrefix="0" xfId="0">
      <alignment wrapText="1"/>
    </xf>
    <xf numFmtId="166" fontId="1" fillId="7" borderId="6" applyAlignment="1" pivotButton="0" quotePrefix="0" xfId="0">
      <alignment wrapText="1"/>
    </xf>
    <xf numFmtId="0" fontId="7" fillId="8" borderId="6" applyAlignment="1" pivotButton="0" quotePrefix="0" xfId="0">
      <alignment wrapText="1"/>
    </xf>
    <xf numFmtId="165" fontId="7" fillId="8" borderId="6" applyAlignment="1" pivotButton="0" quotePrefix="0" xfId="0">
      <alignment wrapText="1"/>
    </xf>
    <xf numFmtId="0" fontId="7" fillId="9" borderId="6" applyAlignment="1" pivotButton="0" quotePrefix="0" xfId="0">
      <alignment wrapText="1"/>
    </xf>
    <xf numFmtId="165" fontId="7" fillId="9" borderId="6" applyAlignment="1" pivotButton="0" quotePrefix="0" xfId="0">
      <alignment wrapText="1"/>
    </xf>
    <xf numFmtId="0" fontId="6" fillId="2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wrapText="1"/>
    </xf>
    <xf numFmtId="0" fontId="2" fillId="5" borderId="6" applyAlignment="1" pivotButton="0" quotePrefix="0" xfId="0">
      <alignment wrapText="1"/>
    </xf>
    <xf numFmtId="165" fontId="2" fillId="5" borderId="6" applyAlignment="1" pivotButton="0" quotePrefix="0" xfId="0">
      <alignment wrapText="1"/>
    </xf>
    <xf numFmtId="0" fontId="0" fillId="3" borderId="5" applyAlignment="1" pivotButton="0" quotePrefix="0" xfId="0">
      <alignment wrapText="1"/>
    </xf>
    <xf numFmtId="0" fontId="2" fillId="8" borderId="5" applyAlignment="1" pivotButton="0" quotePrefix="0" xfId="0">
      <alignment wrapText="1"/>
    </xf>
    <xf numFmtId="0" fontId="0" fillId="3" borderId="18" applyAlignment="1" pivotButton="0" quotePrefix="0" xfId="0">
      <alignment wrapText="1"/>
    </xf>
    <xf numFmtId="0" fontId="0" fillId="3" borderId="19" applyAlignment="1" pivotButton="0" quotePrefix="0" xfId="0">
      <alignment wrapText="1"/>
    </xf>
    <xf numFmtId="0" fontId="10" fillId="2" borderId="19" applyAlignment="1" pivotButton="0" quotePrefix="0" xfId="0">
      <alignment horizontal="center" wrapText="1"/>
    </xf>
    <xf numFmtId="0" fontId="10" fillId="2" borderId="20" applyAlignment="1" pivotButton="0" quotePrefix="0" xfId="0">
      <alignment horizont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center" wrapText="1"/>
    </xf>
    <xf numFmtId="0" fontId="0" fillId="3" borderId="12" applyAlignment="1" pivotButton="0" quotePrefix="0" xfId="0">
      <alignment wrapText="1"/>
    </xf>
    <xf numFmtId="0" fontId="0" fillId="3" borderId="13" applyAlignment="1" pivotButton="0" quotePrefix="0" xfId="0">
      <alignment wrapText="1"/>
    </xf>
    <xf numFmtId="0" fontId="1" fillId="7" borderId="12" applyAlignment="1" pivotButton="0" quotePrefix="0" xfId="0">
      <alignment wrapText="1"/>
    </xf>
    <xf numFmtId="0" fontId="2" fillId="3" borderId="12" applyAlignment="1" pivotButton="0" quotePrefix="0" xfId="0">
      <alignment wrapText="1"/>
    </xf>
    <xf numFmtId="165" fontId="0" fillId="3" borderId="12" applyAlignment="1" pivotButton="0" quotePrefix="0" xfId="0">
      <alignment wrapText="1"/>
    </xf>
    <xf numFmtId="166" fontId="0" fillId="3" borderId="12" applyAlignment="1" pivotButton="0" quotePrefix="0" xfId="0">
      <alignment wrapText="1"/>
    </xf>
    <xf numFmtId="0" fontId="2" fillId="8" borderId="12" applyAlignment="1" pivotButton="0" quotePrefix="0" xfId="0">
      <alignment wrapText="1"/>
    </xf>
    <xf numFmtId="165" fontId="2" fillId="8" borderId="12" applyAlignment="1" pivotButton="0" quotePrefix="0" xfId="0">
      <alignment wrapText="1"/>
    </xf>
    <xf numFmtId="166" fontId="2" fillId="8" borderId="12" applyAlignment="1" pivotButton="0" quotePrefix="0" xfId="0">
      <alignment wrapText="1"/>
    </xf>
    <xf numFmtId="165" fontId="1" fillId="7" borderId="12" applyAlignment="1" pivotButton="0" quotePrefix="0" xfId="0">
      <alignment wrapText="1"/>
    </xf>
    <xf numFmtId="166" fontId="1" fillId="7" borderId="12" applyAlignment="1" pivotButton="0" quotePrefix="0" xfId="0">
      <alignment wrapText="1"/>
    </xf>
    <xf numFmtId="0" fontId="7" fillId="8" borderId="12" applyAlignment="1" pivotButton="0" quotePrefix="0" xfId="0">
      <alignment wrapText="1"/>
    </xf>
    <xf numFmtId="165" fontId="7" fillId="8" borderId="12" applyAlignment="1" pivotButton="0" quotePrefix="0" xfId="0">
      <alignment wrapText="1"/>
    </xf>
    <xf numFmtId="0" fontId="7" fillId="9" borderId="12" applyAlignment="1" pivotButton="0" quotePrefix="0" xfId="0">
      <alignment wrapText="1"/>
    </xf>
    <xf numFmtId="165" fontId="7" fillId="9" borderId="12" applyAlignment="1" pivotButton="0" quotePrefix="0" xfId="0">
      <alignment wrapText="1"/>
    </xf>
    <xf numFmtId="0" fontId="6" fillId="2" borderId="11" applyAlignment="1" pivotButton="0" quotePrefix="0" xfId="0">
      <alignment horizontal="center" vertical="center" wrapText="1"/>
    </xf>
    <xf numFmtId="0" fontId="2" fillId="3" borderId="11" applyAlignment="1" pivotButton="0" quotePrefix="0" xfId="0">
      <alignment wrapText="1"/>
    </xf>
    <xf numFmtId="0" fontId="2" fillId="5" borderId="12" applyAlignment="1" pivotButton="0" quotePrefix="0" xfId="0">
      <alignment wrapText="1"/>
    </xf>
    <xf numFmtId="165" fontId="2" fillId="5" borderId="12" applyAlignment="1" pivotButton="0" quotePrefix="0" xfId="0">
      <alignment wrapText="1"/>
    </xf>
    <xf numFmtId="0" fontId="0" fillId="3" borderId="11" applyAlignment="1" pivotButton="0" quotePrefix="0" xfId="0">
      <alignment wrapText="1"/>
    </xf>
    <xf numFmtId="0" fontId="2" fillId="8" borderId="11" applyAlignment="1" pivotButton="0" quotePrefix="0" xfId="0">
      <alignment wrapText="1"/>
    </xf>
    <xf numFmtId="0" fontId="0" fillId="3" borderId="21" applyAlignment="1" pivotButton="0" quotePrefix="0" xfId="0">
      <alignment wrapText="1"/>
    </xf>
    <xf numFmtId="0" fontId="0" fillId="3" borderId="22" applyAlignment="1" pivotButton="0" quotePrefix="0" xfId="0">
      <alignment wrapText="1"/>
    </xf>
    <xf numFmtId="0" fontId="10" fillId="2" borderId="22" applyAlignment="1" pivotButton="0" quotePrefix="0" xfId="0">
      <alignment horizontal="center" wrapText="1"/>
    </xf>
    <xf numFmtId="0" fontId="10" fillId="2" borderId="23" applyAlignment="1" pivotButton="0" quotePrefix="0" xfId="0">
      <alignment horizontal="center" wrapText="1"/>
    </xf>
    <xf numFmtId="165" fontId="6" fillId="2" borderId="6" applyAlignment="1" pivotButton="0" quotePrefix="0" xfId="0">
      <alignment horizontal="center" vertical="center" wrapText="1"/>
    </xf>
    <xf numFmtId="165" fontId="6" fillId="2" borderId="12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165" fontId="6" fillId="8" borderId="6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center" vertical="center" wrapText="1"/>
    </xf>
    <xf numFmtId="165" fontId="6" fillId="8" borderId="12" applyAlignment="1" pivotButton="0" quotePrefix="0" xfId="0">
      <alignment horizontal="center" vertical="center" wrapText="1"/>
    </xf>
    <xf numFmtId="165" fontId="11" fillId="0" borderId="0" pivotButton="0" quotePrefix="0" xfId="0"/>
    <xf numFmtId="164" fontId="11" fillId="0" borderId="0" pivotButton="0" quotePrefix="0" xfId="0"/>
    <xf numFmtId="165" fontId="11" fillId="0" borderId="1" pivotButton="0" quotePrefix="0" xfId="0"/>
    <xf numFmtId="164" fontId="11" fillId="0" borderId="1" pivotButton="0" quotePrefix="0" xfId="0"/>
    <xf numFmtId="0" fontId="0" fillId="2" borderId="5" applyAlignment="1" pivotButton="0" quotePrefix="0" xfId="0">
      <alignment wrapText="1"/>
    </xf>
    <xf numFmtId="0" fontId="0" fillId="2" borderId="6" applyAlignment="1" pivotButton="0" quotePrefix="0" xfId="0">
      <alignment wrapText="1"/>
    </xf>
    <xf numFmtId="0" fontId="6" fillId="2" borderId="5" applyAlignment="1" pivotButton="0" quotePrefix="0" xfId="0">
      <alignment wrapText="1"/>
    </xf>
    <xf numFmtId="0" fontId="6" fillId="2" borderId="6" applyAlignment="1" pivotButton="0" quotePrefix="0" xfId="0">
      <alignment wrapText="1"/>
    </xf>
    <xf numFmtId="0" fontId="6" fillId="2" borderId="5" applyAlignment="1" pivotButton="0" quotePrefix="0" xfId="0">
      <alignment horizontal="center" wrapText="1"/>
    </xf>
    <xf numFmtId="0" fontId="6" fillId="2" borderId="6" applyAlignment="1" pivotButton="0" quotePrefix="0" xfId="0">
      <alignment horizontal="center" wrapText="1"/>
    </xf>
    <xf numFmtId="0" fontId="0" fillId="2" borderId="11" applyAlignment="1" pivotButton="0" quotePrefix="0" xfId="0">
      <alignment wrapText="1"/>
    </xf>
    <xf numFmtId="0" fontId="0" fillId="2" borderId="12" applyAlignment="1" pivotButton="0" quotePrefix="0" xfId="0">
      <alignment wrapText="1"/>
    </xf>
    <xf numFmtId="0" fontId="6" fillId="2" borderId="11" applyAlignment="1" pivotButton="0" quotePrefix="0" xfId="0">
      <alignment wrapText="1"/>
    </xf>
    <xf numFmtId="0" fontId="6" fillId="2" borderId="12" applyAlignment="1" pivotButton="0" quotePrefix="0" xfId="0">
      <alignment wrapText="1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wrapText="1"/>
    </xf>
    <xf numFmtId="0" fontId="0" fillId="10" borderId="5" applyAlignment="1" pivotButton="0" quotePrefix="0" xfId="0">
      <alignment wrapText="1"/>
    </xf>
    <xf numFmtId="0" fontId="0" fillId="10" borderId="6" applyAlignment="1" pivotButton="0" quotePrefix="0" xfId="0">
      <alignment wrapText="1"/>
    </xf>
    <xf numFmtId="0" fontId="12" fillId="10" borderId="5" applyAlignment="1" pivotButton="0" quotePrefix="0" xfId="0">
      <alignment wrapText="1"/>
    </xf>
    <xf numFmtId="0" fontId="12" fillId="10" borderId="6" applyAlignment="1" pivotButton="0" quotePrefix="0" xfId="0">
      <alignment wrapText="1"/>
    </xf>
    <xf numFmtId="0" fontId="12" fillId="10" borderId="5" applyAlignment="1" pivotButton="0" quotePrefix="0" xfId="0">
      <alignment vertical="top" wrapText="1"/>
    </xf>
    <xf numFmtId="0" fontId="12" fillId="10" borderId="6" applyAlignment="1" pivotButton="0" quotePrefix="0" xfId="0">
      <alignment vertical="top" wrapText="1"/>
    </xf>
    <xf numFmtId="165" fontId="0" fillId="3" borderId="6" applyAlignment="1" pivotButton="0" quotePrefix="0" xfId="0">
      <alignment wrapText="1"/>
    </xf>
    <xf numFmtId="166" fontId="0" fillId="3" borderId="6" applyAlignment="1" pivotButton="0" quotePrefix="0" xfId="0">
      <alignment wrapText="1"/>
    </xf>
    <xf numFmtId="165" fontId="2" fillId="8" borderId="6" applyAlignment="1" pivotButton="0" quotePrefix="0" xfId="0">
      <alignment wrapText="1"/>
    </xf>
    <xf numFmtId="166" fontId="2" fillId="8" borderId="6" applyAlignment="1" pivotButton="0" quotePrefix="0" xfId="0">
      <alignment wrapText="1"/>
    </xf>
    <xf numFmtId="165" fontId="1" fillId="7" borderId="6" applyAlignment="1" pivotButton="0" quotePrefix="0" xfId="0">
      <alignment wrapText="1"/>
    </xf>
    <xf numFmtId="166" fontId="1" fillId="7" borderId="6" applyAlignment="1" pivotButton="0" quotePrefix="0" xfId="0">
      <alignment wrapText="1"/>
    </xf>
    <xf numFmtId="165" fontId="7" fillId="8" borderId="6" applyAlignment="1" pivotButton="0" quotePrefix="0" xfId="0">
      <alignment wrapText="1"/>
    </xf>
    <xf numFmtId="165" fontId="7" fillId="9" borderId="6" applyAlignment="1" pivotButton="0" quotePrefix="0" xfId="0">
      <alignment wrapText="1"/>
    </xf>
    <xf numFmtId="165" fontId="2" fillId="5" borderId="6" applyAlignment="1" pivotButton="0" quotePrefix="0" xfId="0">
      <alignment wrapText="1"/>
    </xf>
    <xf numFmtId="0" fontId="12" fillId="10" borderId="11" applyAlignment="1" pivotButton="0" quotePrefix="0" xfId="0">
      <alignment vertical="top" wrapText="1"/>
    </xf>
    <xf numFmtId="164" fontId="3" fillId="0" borderId="6" pivotButton="0" quotePrefix="0" xfId="0"/>
    <xf numFmtId="165" fontId="11" fillId="0" borderId="0" pivotButton="0" quotePrefix="0" xfId="0"/>
    <xf numFmtId="164" fontId="1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02.3999938964844" customHeight="1">
      <c r="A1" s="268" t="inlineStr">
        <is>
          <t>LAMBORGHINI WILD COAST SUMBA RETREAT  |  DEVELOPMENT FINANCIAL PLAN – PHASE I  |  10 SIGNATURE VILLAS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1.60000038146973" customHeight="1">
      <c r="A2" s="1" t="n"/>
    </row>
    <row r="3" ht="21.60000038146973" customHeight="1">
      <c r="A3" s="1" t="n"/>
    </row>
    <row r="4" ht="184.8000030517578" customHeight="1">
      <c r="A4" s="197" t="inlineStr">
        <is>
          <t>HERO VISUAL AREA
Exclusive branded luxury villas
Iconic design · Italian heritage · Sumba soul · Lamborghini luxury</t>
        </is>
      </c>
      <c r="I4" s="274" t="inlineStr">
        <is>
          <t>ESTADO DE RESULTADOS – PHASE I (10 VILLAS)</t>
        </is>
      </c>
      <c r="Q4" s="274" t="inlineStr">
        <is>
          <t>WATERFALL – CREACIÓN DE VALOR</t>
        </is>
      </c>
    </row>
    <row r="5" ht="16.79999923706055" customHeight="1">
      <c r="A5" s="1" t="n"/>
      <c r="I5" s="242" t="inlineStr">
        <is>
          <t>CONCEPTO</t>
        </is>
      </c>
      <c r="J5" s="242" t="inlineStr">
        <is>
          <t>CÁLCULO</t>
        </is>
      </c>
      <c r="K5" s="242" t="inlineStr">
        <is>
          <t>IMPORTE (€)</t>
        </is>
      </c>
      <c r="L5" s="242" t="inlineStr">
        <is>
          <t>% SOBRE VENTAS</t>
        </is>
      </c>
      <c r="M5" s="243" t="n"/>
      <c r="N5" s="243" t="n"/>
      <c r="O5" s="243" t="n"/>
      <c r="P5" s="243" t="n"/>
      <c r="Q5" s="243" t="n"/>
      <c r="R5" s="243" t="n"/>
      <c r="S5" s="243" t="n"/>
      <c r="T5" s="243" t="n"/>
      <c r="U5" s="243" t="n"/>
      <c r="V5" s="243" t="n"/>
      <c r="W5" s="243" t="n"/>
      <c r="X5" s="243" t="n"/>
      <c r="Y5" s="243" t="n"/>
      <c r="Z5" s="244" t="n"/>
    </row>
    <row r="6" ht="72" customHeight="1">
      <c r="A6" s="1" t="n"/>
      <c r="I6" s="245" t="inlineStr">
        <is>
          <t>1. INGRESOS</t>
        </is>
      </c>
      <c r="J6" s="245" t="str"/>
      <c r="K6" s="245" t="str"/>
      <c r="L6" s="245" t="str"/>
      <c r="M6" s="243" t="n"/>
      <c r="N6" s="243" t="n"/>
      <c r="O6" s="243" t="n"/>
      <c r="P6" s="243" t="n"/>
      <c r="Q6" s="246" t="inlineStr">
        <is>
          <t>VENTAS BRUTAS</t>
        </is>
      </c>
      <c r="R6" s="330">
        <f>Calculations!B2</f>
        <v/>
      </c>
      <c r="S6" s="274" t="inlineStr">
        <is>
          <t>REPARTO DEL BENEFICIO SOBRE MARGEN OPERATIVO</t>
        </is>
      </c>
    </row>
    <row r="7" ht="26.39999961853027" customHeight="1">
      <c r="A7" s="1" t="n"/>
      <c r="I7" s="243" t="inlineStr">
        <is>
          <t>Ventas de 10 villas</t>
        </is>
      </c>
      <c r="J7" s="243" t="inlineStr">
        <is>
          <t>10 villas x 1.000.000 €</t>
        </is>
      </c>
      <c r="K7" s="330">
        <f>Calculations!B2</f>
        <v/>
      </c>
      <c r="L7" s="331">
        <f>K7/Calculations!B2</f>
        <v/>
      </c>
      <c r="M7" s="243" t="n"/>
      <c r="N7" s="243" t="n"/>
      <c r="O7" s="243" t="n"/>
      <c r="P7" s="243" t="n"/>
      <c r="Q7" s="246" t="inlineStr">
        <is>
          <t>Costes Directos</t>
        </is>
      </c>
      <c r="R7" s="330">
        <f>-Calculations!B7</f>
        <v/>
      </c>
      <c r="S7" s="243" t="inlineStr">
        <is>
          <t>Tonino Lamborghini</t>
        </is>
      </c>
      <c r="T7" s="243" t="inlineStr">
        <is>
          <t>3% del beneficio</t>
        </is>
      </c>
      <c r="U7" s="330">
        <f>Calculations!B20</f>
        <v/>
      </c>
      <c r="V7" s="243" t="n"/>
      <c r="W7" s="243" t="n"/>
      <c r="X7" s="243" t="n"/>
      <c r="Y7" s="243" t="n"/>
      <c r="Z7" s="244" t="n"/>
    </row>
    <row r="8" ht="26.39999961853027" customHeight="1">
      <c r="A8" s="1" t="n"/>
      <c r="I8" s="249" t="inlineStr">
        <is>
          <t>TOTAL INGRESOS</t>
        </is>
      </c>
      <c r="J8" s="249" t="str"/>
      <c r="K8" s="332">
        <f>K7</f>
        <v/>
      </c>
      <c r="L8" s="333">
        <f>L7</f>
        <v/>
      </c>
      <c r="M8" s="243" t="n"/>
      <c r="N8" s="243" t="n"/>
      <c r="O8" s="243" t="n"/>
      <c r="P8" s="243" t="n"/>
      <c r="Q8" s="246" t="inlineStr">
        <is>
          <t>Honorarios &amp; Profesionales</t>
        </is>
      </c>
      <c r="R8" s="330">
        <f>-Calculations!B11</f>
        <v/>
      </c>
      <c r="S8" s="243" t="inlineStr">
        <is>
          <t>Introducción Marca</t>
        </is>
      </c>
      <c r="T8" s="243" t="inlineStr">
        <is>
          <t>1% del beneficio</t>
        </is>
      </c>
      <c r="U8" s="330">
        <f>Calculations!B21</f>
        <v/>
      </c>
      <c r="V8" s="243" t="n"/>
      <c r="W8" s="243" t="n"/>
      <c r="X8" s="243" t="n"/>
      <c r="Y8" s="243" t="n"/>
      <c r="Z8" s="244" t="n"/>
    </row>
    <row r="9" ht="52.79999923706055" customHeight="1">
      <c r="A9" s="1" t="n"/>
      <c r="I9" s="245" t="inlineStr">
        <is>
          <t>2. COSTES DIRECTOS</t>
        </is>
      </c>
      <c r="J9" s="245" t="str"/>
      <c r="K9" s="334" t="str"/>
      <c r="L9" s="335" t="str"/>
      <c r="M9" s="243" t="n"/>
      <c r="N9" s="243" t="n"/>
      <c r="O9" s="243" t="n"/>
      <c r="P9" s="243" t="n"/>
      <c r="Q9" s="246" t="inlineStr">
        <is>
          <t>Gastos Comerciales &amp; Admin.</t>
        </is>
      </c>
      <c r="R9" s="330">
        <f>-Calculations!B17</f>
        <v/>
      </c>
      <c r="S9" s="254" t="inlineStr">
        <is>
          <t>BENEFICIO NETO PARA LAWANG (FRAN &amp; PABLO)</t>
        </is>
      </c>
      <c r="T9" s="254" t="inlineStr">
        <is>
          <t>Residual</t>
        </is>
      </c>
      <c r="U9" s="336">
        <f>Calculations!B22</f>
        <v/>
      </c>
      <c r="V9" s="243" t="n"/>
      <c r="W9" s="243" t="n"/>
      <c r="X9" s="243" t="n"/>
      <c r="Y9" s="243" t="n"/>
      <c r="Z9" s="244" t="n"/>
    </row>
    <row r="10" ht="26.39999961853027" customHeight="1">
      <c r="A10" s="1" t="n"/>
      <c r="I10" s="243" t="inlineStr">
        <is>
          <t>Construcción</t>
        </is>
      </c>
      <c r="J10" s="243" t="inlineStr">
        <is>
          <t>10 villas x 300.000 €</t>
        </is>
      </c>
      <c r="K10" s="330">
        <f>-Calculations!B3</f>
        <v/>
      </c>
      <c r="L10" s="331">
        <f>K10/Calculations!B2</f>
        <v/>
      </c>
      <c r="M10" s="243" t="n"/>
      <c r="N10" s="243" t="n"/>
      <c r="O10" s="243" t="n"/>
      <c r="P10" s="243" t="n"/>
      <c r="Q10" s="246" t="inlineStr">
        <is>
          <t>MARGEN OPERATIVO</t>
        </is>
      </c>
      <c r="R10" s="330">
        <f>Calculations!B19</f>
        <v/>
      </c>
      <c r="S10" s="243" t="n"/>
      <c r="T10" s="243" t="n"/>
      <c r="U10" s="243" t="n"/>
      <c r="V10" s="243" t="n"/>
      <c r="W10" s="243" t="n"/>
      <c r="X10" s="243" t="n"/>
      <c r="Y10" s="243" t="n"/>
      <c r="Z10" s="244" t="n"/>
    </row>
    <row r="11" ht="43.20000076293945" customHeight="1">
      <c r="A11" s="1" t="n"/>
      <c r="I11" s="243" t="inlineStr">
        <is>
          <t>Suelo (coste adquisición)</t>
        </is>
      </c>
      <c r="J11" s="243" t="inlineStr">
        <is>
          <t>TBD / input editable</t>
        </is>
      </c>
      <c r="K11" s="330">
        <f>-Calculations!B4</f>
        <v/>
      </c>
      <c r="L11" s="331">
        <f>K11/Calculations!B2</f>
        <v/>
      </c>
      <c r="M11" s="243" t="n"/>
      <c r="N11" s="243" t="n"/>
      <c r="O11" s="243" t="n"/>
      <c r="P11" s="243" t="n"/>
      <c r="Q11" s="246" t="inlineStr">
        <is>
          <t>Tonino Lamborghini (3%)</t>
        </is>
      </c>
      <c r="R11" s="330">
        <f>-Calculations!B20</f>
        <v/>
      </c>
      <c r="S11" s="274" t="inlineStr">
        <is>
          <t>RESULTADO FINAL – PHASE I</t>
        </is>
      </c>
    </row>
    <row r="12" ht="237.6000061035156" customHeight="1">
      <c r="A12" s="1" t="n"/>
      <c r="I12" s="243" t="inlineStr">
        <is>
          <t>Urbanización &amp; Infraestructura</t>
        </is>
      </c>
      <c r="J12" s="243" t="inlineStr">
        <is>
          <t>Input editable</t>
        </is>
      </c>
      <c r="K12" s="330">
        <f>-Calculations!B5</f>
        <v/>
      </c>
      <c r="L12" s="331">
        <f>K12/Calculations!B2</f>
        <v/>
      </c>
      <c r="M12" s="243" t="n"/>
      <c r="N12" s="243" t="n"/>
      <c r="O12" s="243" t="n"/>
      <c r="P12" s="243" t="n"/>
      <c r="Q12" s="246" t="inlineStr">
        <is>
          <t>Introducción Marca (1%)</t>
        </is>
      </c>
      <c r="R12" s="330">
        <f>-Calculations!B21</f>
        <v/>
      </c>
      <c r="S12" s="215">
        <f>"BENEFICIO NETO PARA LAWANG (FRAN &amp; PABLO)"&amp;CHAR(10)&amp;TEXT(Calculations!B22,"€#,##0")&amp;CHAR(10)&amp;TEXT(Calculations!B23,"0.0%")&amp;" SOBRE VENTAS"</f>
        <v/>
      </c>
    </row>
    <row r="13" ht="26.39999961853027" customHeight="1">
      <c r="A13" s="1" t="n"/>
      <c r="I13" s="243" t="inlineStr">
        <is>
          <t>Licencias &amp; Permisos</t>
        </is>
      </c>
      <c r="J13" s="243" t="inlineStr">
        <is>
          <t>Input editable</t>
        </is>
      </c>
      <c r="K13" s="330">
        <f>-Calculations!B6</f>
        <v/>
      </c>
      <c r="L13" s="331">
        <f>K13/Calculations!B2</f>
        <v/>
      </c>
      <c r="M13" s="243" t="n"/>
      <c r="N13" s="243" t="n"/>
      <c r="O13" s="243" t="n"/>
      <c r="P13" s="243" t="n"/>
      <c r="Q13" s="256" t="inlineStr">
        <is>
          <t>BENEFICIO NETO LAWANG</t>
        </is>
      </c>
      <c r="R13" s="337">
        <f>Calculations!B22</f>
        <v/>
      </c>
    </row>
    <row r="14" ht="43.20000076293945" customHeight="1">
      <c r="A14" s="292" t="inlineStr">
        <is>
          <t>PROJECT SNAPSHOT – PHASE I</t>
        </is>
      </c>
      <c r="E14" s="274" t="inlineStr">
        <is>
          <t>LAND &amp; SITE OVERVIEW</t>
        </is>
      </c>
      <c r="I14" s="249" t="inlineStr">
        <is>
          <t>TOTAL COSTES DIRECTOS</t>
        </is>
      </c>
      <c r="J14" s="249" t="str"/>
      <c r="K14" s="332">
        <f>SUM(K10:K13)</f>
        <v/>
      </c>
      <c r="L14" s="333">
        <f>K14/Calculations!B2</f>
        <v/>
      </c>
      <c r="M14" s="243" t="n"/>
      <c r="N14" s="243" t="n"/>
      <c r="O14" s="243" t="n"/>
      <c r="P14" s="243" t="n"/>
      <c r="Q14" s="243" t="n"/>
      <c r="R14" s="243" t="n"/>
    </row>
    <row r="15" ht="26.39999961853027" customHeight="1">
      <c r="A15" s="259" t="inlineStr">
        <is>
          <t>Nº Villas</t>
        </is>
      </c>
      <c r="B15" s="243">
        <f>Assumptions!B2</f>
        <v/>
      </c>
      <c r="C15" s="243" t="n"/>
      <c r="D15" s="243" t="n"/>
      <c r="E15" s="246" t="inlineStr">
        <is>
          <t>Superficie total del proyecto</t>
        </is>
      </c>
      <c r="F15" s="243">
        <f>TEXT(Assumptions!B6,"#,##0")&amp;" m² (2 ha)"</f>
        <v/>
      </c>
      <c r="G15" s="243" t="n"/>
      <c r="H15" s="243" t="n"/>
      <c r="I15" s="243" t="inlineStr">
        <is>
          <t>3. HONORARIOS &amp; PROFESIONALES</t>
        </is>
      </c>
      <c r="J15" s="243" t="str"/>
      <c r="K15" s="330" t="str"/>
      <c r="L15" s="331" t="str"/>
      <c r="M15" s="243" t="n"/>
      <c r="N15" s="243" t="n"/>
      <c r="O15" s="243" t="n"/>
      <c r="P15" s="243" t="n"/>
      <c r="Q15" s="243" t="n"/>
      <c r="R15" s="243" t="n"/>
    </row>
    <row r="16" ht="26.39999961853027" customHeight="1">
      <c r="A16" s="259" t="inlineStr">
        <is>
          <t>Superficie villa</t>
        </is>
      </c>
      <c r="B16" s="243">
        <f>TEXT(Assumptions!B4,"#,##0")&amp;" m²"</f>
        <v/>
      </c>
      <c r="C16" s="243" t="n"/>
      <c r="D16" s="243" t="n"/>
      <c r="E16" s="246" t="inlineStr">
        <is>
          <t>Precio venta del suelo</t>
        </is>
      </c>
      <c r="F16" s="243">
        <f>TEXT(Assumptions!B7,"€#,##0")&amp;" /m²"</f>
        <v/>
      </c>
      <c r="G16" s="243" t="n"/>
      <c r="H16" s="243" t="n"/>
      <c r="I16" s="245" t="inlineStr">
        <is>
          <t>Nick Maltese Studio</t>
        </is>
      </c>
      <c r="J16" s="245" t="inlineStr">
        <is>
          <t>8% sobre construcción</t>
        </is>
      </c>
      <c r="K16" s="334">
        <f>-Calculations!B8</f>
        <v/>
      </c>
      <c r="L16" s="335">
        <f>K17/Calculations!B2</f>
        <v/>
      </c>
      <c r="M16" s="243" t="n"/>
      <c r="N16" s="243" t="n"/>
      <c r="O16" s="243" t="n"/>
      <c r="P16" s="243" t="n"/>
      <c r="Q16" s="243" t="n"/>
      <c r="R16" s="243" t="n"/>
      <c r="S16" s="243" t="n"/>
      <c r="T16" s="243" t="n"/>
      <c r="U16" s="243" t="n"/>
      <c r="V16" s="243" t="n"/>
      <c r="W16" s="243" t="n"/>
      <c r="X16" s="243" t="n"/>
      <c r="Y16" s="243" t="n"/>
      <c r="Z16" s="244" t="n"/>
    </row>
    <row r="17" ht="43.20000076293945" customHeight="1">
      <c r="A17" s="259" t="inlineStr">
        <is>
          <t>Tipo de villas</t>
        </is>
      </c>
      <c r="B17" s="243" t="inlineStr">
        <is>
          <t>2 &amp; 3 Bedrooms</t>
        </is>
      </c>
      <c r="C17" s="243" t="n"/>
      <c r="D17" s="243" t="n"/>
      <c r="E17" s="260" t="inlineStr">
        <is>
          <t>VALOR POTENCIAL DEL SUELO</t>
        </is>
      </c>
      <c r="F17" s="338">
        <f>Calculations!B26</f>
        <v/>
      </c>
      <c r="G17" s="243" t="n"/>
      <c r="H17" s="243" t="n"/>
      <c r="I17" s="243" t="inlineStr">
        <is>
          <t>Arquitecto local &amp; ingeniería</t>
        </is>
      </c>
      <c r="J17" s="243" t="inlineStr">
        <is>
          <t>Input editable</t>
        </is>
      </c>
      <c r="K17" s="330">
        <f>-Calculations!B9</f>
        <v/>
      </c>
      <c r="L17" s="331">
        <f>K18/Calculations!B2</f>
        <v/>
      </c>
      <c r="M17" s="243" t="n"/>
      <c r="N17" s="243" t="n"/>
      <c r="O17" s="243" t="n"/>
      <c r="P17" s="243" t="n"/>
      <c r="Q17" s="274" t="inlineStr">
        <is>
          <t>MÉTRICAS CLAVE – PHASE I</t>
        </is>
      </c>
    </row>
    <row r="18" ht="57.59999847412109" customHeight="1">
      <c r="A18" s="259" t="inlineStr">
        <is>
          <t>Precio de venta por villa</t>
        </is>
      </c>
      <c r="B18" s="330">
        <f>Assumptions!B3</f>
        <v/>
      </c>
      <c r="C18" s="243" t="n"/>
      <c r="D18" s="243" t="n"/>
      <c r="E18" s="246" t="inlineStr">
        <is>
          <t>Uso previsto</t>
        </is>
      </c>
      <c r="F18" s="330" t="inlineStr">
        <is>
          <t>Residencial turístico</t>
        </is>
      </c>
      <c r="G18" s="243" t="n"/>
      <c r="H18" s="243" t="n"/>
      <c r="I18" s="243" t="inlineStr">
        <is>
          <t>Otros profesionales técnicos</t>
        </is>
      </c>
      <c r="J18" s="243" t="inlineStr">
        <is>
          <t>Input editable</t>
        </is>
      </c>
      <c r="K18" s="330">
        <f>-Calculations!B10</f>
        <v/>
      </c>
      <c r="L18" s="331">
        <f>K19/Calculations!B2</f>
        <v/>
      </c>
      <c r="M18" s="243" t="n"/>
      <c r="N18" s="243" t="n"/>
      <c r="O18" s="243" t="n"/>
      <c r="P18" s="243" t="n"/>
      <c r="Q18" s="223">
        <f>"VENTAS (GDV)"&amp;CHAR(10)&amp;TEXT(Calculations!B2,"€#,##0")</f>
        <v/>
      </c>
      <c r="S18" s="223">
        <f>"BENEFICIO NETO LAWANG"&amp;CHAR(10)&amp;TEXT(Calculations!B22,"€#,##0")</f>
        <v/>
      </c>
      <c r="V18" s="223">
        <f>"MARGEN NETO SOBRE VENTAS"&amp;CHAR(10)&amp;TEXT(Calculations!B23,"0.0%")</f>
        <v/>
      </c>
    </row>
    <row r="19" ht="39.59999847412109" customHeight="1">
      <c r="A19" s="259" t="inlineStr">
        <is>
          <t>Ventas totales (GDV)</t>
        </is>
      </c>
      <c r="B19" s="330">
        <f>Calculations!B2</f>
        <v/>
      </c>
      <c r="C19" s="243" t="n"/>
      <c r="D19" s="243" t="n"/>
      <c r="E19" s="246" t="inlineStr">
        <is>
          <t>Coste adquisición del suelo</t>
        </is>
      </c>
      <c r="F19" s="330">
        <f>Assumptions!B8</f>
        <v/>
      </c>
      <c r="G19" s="243" t="n"/>
      <c r="H19" s="243" t="n"/>
      <c r="I19" s="243" t="inlineStr">
        <is>
          <t>TOTAL HONORARIOS &amp; PROF.</t>
        </is>
      </c>
      <c r="J19" s="243" t="str"/>
      <c r="K19" s="330">
        <f>SUM(K17:K19)</f>
        <v/>
      </c>
      <c r="L19" s="331">
        <f>K20/Calculations!B2</f>
        <v/>
      </c>
      <c r="M19" s="243" t="n"/>
      <c r="N19" s="243" t="n"/>
      <c r="O19" s="243" t="n"/>
      <c r="P19" s="243" t="n"/>
    </row>
    <row r="20" ht="57.59999847412109" customHeight="1">
      <c r="A20" s="259" t="inlineStr">
        <is>
          <t>Inicio comercialización</t>
        </is>
      </c>
      <c r="B20" s="243" t="inlineStr">
        <is>
          <t>Mes 2 – 4</t>
        </is>
      </c>
      <c r="C20" s="243" t="n"/>
      <c r="D20" s="243" t="n"/>
      <c r="E20" s="246" t="inlineStr">
        <is>
          <t>Plusvalía estimada del suelo</t>
        </is>
      </c>
      <c r="F20" s="330">
        <f>Calculations!B27</f>
        <v/>
      </c>
      <c r="G20" s="243" t="n"/>
      <c r="H20" s="243" t="n"/>
      <c r="I20" s="249" t="inlineStr">
        <is>
          <t>4. GASTOS COMERCIALES &amp; ADMIN.</t>
        </is>
      </c>
      <c r="J20" s="249" t="str"/>
      <c r="K20" s="332" t="str"/>
      <c r="L20" s="333" t="str"/>
      <c r="M20" s="243" t="n"/>
      <c r="N20" s="243" t="n"/>
      <c r="O20" s="243" t="n"/>
      <c r="P20" s="243" t="n"/>
      <c r="Q20" s="223">
        <f>"ROI SOBRE COSTE TOTAL"&amp;CHAR(10)&amp;TEXT(Calculations!B24,"0.0%")</f>
        <v/>
      </c>
      <c r="S20" s="223">
        <f>"ROI SOBRE INVERSIÓN TOTAL"&amp;CHAR(10)&amp;TEXT(Calculations!B25,"0.0%")</f>
        <v/>
      </c>
      <c r="V20" s="223" t="inlineStr">
        <is>
          <t>PAYBACK ESTIMADO
12 – 14 MESES</t>
        </is>
      </c>
    </row>
    <row r="21" ht="26.39999961853027" customHeight="1">
      <c r="A21" s="259" t="inlineStr">
        <is>
          <t>Entrega estimada</t>
        </is>
      </c>
      <c r="B21" s="243" t="inlineStr">
        <is>
          <t>Mes 12 – 14</t>
        </is>
      </c>
      <c r="C21" s="243" t="n"/>
      <c r="D21" s="243" t="n"/>
      <c r="E21" s="243" t="n"/>
      <c r="F21" s="243" t="n"/>
      <c r="G21" s="243" t="n"/>
      <c r="H21" s="243" t="n"/>
      <c r="I21" s="243" t="inlineStr">
        <is>
          <t>Marketing &amp; Branding</t>
        </is>
      </c>
      <c r="J21" s="243" t="inlineStr">
        <is>
          <t>Input editable</t>
        </is>
      </c>
      <c r="K21" s="330">
        <f>-Calculations!B12</f>
        <v/>
      </c>
      <c r="L21" s="331">
        <f>K23/Calculations!B2</f>
        <v/>
      </c>
      <c r="M21" s="243" t="n"/>
      <c r="N21" s="243" t="n"/>
      <c r="O21" s="243" t="n"/>
      <c r="P21" s="243" t="n"/>
    </row>
    <row r="22" ht="26.39999961853027" customHeight="1">
      <c r="A22" s="262" t="n"/>
      <c r="B22" s="243" t="n"/>
      <c r="C22" s="243" t="n"/>
      <c r="D22" s="243" t="n"/>
      <c r="E22" s="243" t="n"/>
      <c r="F22" s="243" t="n"/>
      <c r="G22" s="243" t="n"/>
      <c r="H22" s="243" t="n"/>
      <c r="I22" s="245" t="inlineStr">
        <is>
          <t>Comisiones comerciales (3%)</t>
        </is>
      </c>
      <c r="J22" s="245" t="inlineStr">
        <is>
          <t>% de ventas</t>
        </is>
      </c>
      <c r="K22" s="334">
        <f>-Calculations!B13</f>
        <v/>
      </c>
      <c r="L22" s="335">
        <f>K24/Calculations!B2</f>
        <v/>
      </c>
      <c r="M22" s="243" t="n"/>
      <c r="N22" s="243" t="n"/>
      <c r="O22" s="243" t="n"/>
      <c r="P22" s="243" t="n"/>
      <c r="Q22" s="243" t="n"/>
      <c r="R22" s="243" t="n"/>
      <c r="S22" s="243" t="n"/>
      <c r="T22" s="243" t="n"/>
      <c r="U22" s="243" t="n"/>
      <c r="V22" s="243" t="n"/>
      <c r="W22" s="243" t="n"/>
      <c r="X22" s="243" t="n"/>
      <c r="Y22" s="243" t="n"/>
      <c r="Z22" s="244" t="n"/>
    </row>
    <row r="23" ht="57.59999847412109" customHeight="1">
      <c r="A23" s="292" t="inlineStr">
        <is>
          <t>INVERSIÓN &amp; COSTE TOTAL – PHASE I</t>
        </is>
      </c>
      <c r="E23" s="274" t="inlineStr">
        <is>
          <t>ESTRUCTURA DE FINANCIACIÓN – PHASE I</t>
        </is>
      </c>
      <c r="I23" s="243" t="inlineStr">
        <is>
          <t>Gastos legales &amp; notaría</t>
        </is>
      </c>
      <c r="J23" s="243" t="inlineStr">
        <is>
          <t>Input editable</t>
        </is>
      </c>
      <c r="K23" s="330">
        <f>-Calculations!B14</f>
        <v/>
      </c>
      <c r="L23" s="331">
        <f>K25/Calculations!B2</f>
        <v/>
      </c>
      <c r="M23" s="243" t="n"/>
      <c r="N23" s="243" t="n"/>
      <c r="O23" s="243" t="n"/>
      <c r="P23" s="243" t="n"/>
      <c r="Q23" s="274" t="inlineStr">
        <is>
          <t>¿QUIÉN HACE QUÉ?</t>
        </is>
      </c>
    </row>
    <row r="24" ht="171.6000061035156" customHeight="1">
      <c r="A24" s="262" t="inlineStr">
        <is>
          <t>Coste adquisición del suelo</t>
        </is>
      </c>
      <c r="B24" s="330">
        <f>Calculations!B4</f>
        <v/>
      </c>
      <c r="C24" s="243" t="n"/>
      <c r="D24" s="243" t="n"/>
      <c r="E24" s="243" t="inlineStr">
        <is>
          <t>Preventas (30%)</t>
        </is>
      </c>
      <c r="F24" s="330">
        <f>Calculations!B2*Assumptions!B21</f>
        <v/>
      </c>
      <c r="G24" s="243" t="n"/>
      <c r="H24" s="243" t="n"/>
      <c r="I24" s="243" t="inlineStr">
        <is>
          <t>Gastos administrativos</t>
        </is>
      </c>
      <c r="J24" s="243" t="inlineStr">
        <is>
          <t>Input editable</t>
        </is>
      </c>
      <c r="K24" s="330">
        <f>-Calculations!B15</f>
        <v/>
      </c>
      <c r="L24" s="331">
        <f>K26/Calculations!B2</f>
        <v/>
      </c>
      <c r="M24" s="243" t="n"/>
      <c r="N24" s="243" t="n"/>
      <c r="O24" s="243" t="n"/>
      <c r="P24" s="243" t="n"/>
      <c r="Q24" s="226" t="inlineStr">
        <is>
          <t>LAWANG (FRAN &amp; PABLO)
Promotor &amp; Desarrollador
Propietario del Suelo
Construcción &amp; Gestión de Obra
Comercialización
Beneficio Residual</t>
        </is>
      </c>
      <c r="S24" s="226" t="inlineStr">
        <is>
          <t>TONINO LAMBORGHINI
Uso de marca
3% del beneficio</t>
        </is>
      </c>
      <c r="U24" s="226" t="inlineStr">
        <is>
          <t>INTRODUCCIÓN MARCA
Conexión &amp; Introducción
1% del beneficio</t>
        </is>
      </c>
      <c r="W24" s="226" t="inlineStr">
        <is>
          <t>NICK MALTESE STUDIO
Diseño Arquitectónico
Dirección Artística
Interiores &amp; Branding
8% sobre coste construcción</t>
        </is>
      </c>
    </row>
    <row r="25" ht="26.39999961853027" customHeight="1">
      <c r="A25" s="262" t="inlineStr">
        <is>
          <t>Construcción (10 villas)</t>
        </is>
      </c>
      <c r="B25" s="330">
        <f>Calculations!B3</f>
        <v/>
      </c>
      <c r="C25" s="243" t="n"/>
      <c r="D25" s="243" t="n"/>
      <c r="E25" s="243" t="inlineStr">
        <is>
          <t>Aportación socios (35%)</t>
        </is>
      </c>
      <c r="F25" s="330">
        <f>Calculations!B2*Assumptions!B22</f>
        <v/>
      </c>
      <c r="G25" s="243" t="n"/>
      <c r="H25" s="243" t="n"/>
      <c r="I25" s="243" t="inlineStr">
        <is>
          <t>Seguros &amp; Contingencias (2%)</t>
        </is>
      </c>
      <c r="J25" s="243" t="inlineStr">
        <is>
          <t>% de ventas</t>
        </is>
      </c>
      <c r="K25" s="330">
        <f>-Calculations!B16</f>
        <v/>
      </c>
      <c r="L25" s="331">
        <f>K27/Calculations!B2</f>
        <v/>
      </c>
      <c r="M25" s="243" t="n"/>
      <c r="N25" s="243" t="n"/>
      <c r="O25" s="243" t="n"/>
      <c r="P25" s="243" t="n"/>
    </row>
    <row r="26" ht="52.79999923706055" customHeight="1">
      <c r="A26" s="262" t="inlineStr">
        <is>
          <t>Urbanización &amp; Infraestructura</t>
        </is>
      </c>
      <c r="B26" s="330">
        <f>Calculations!B5</f>
        <v/>
      </c>
      <c r="C26" s="243" t="n"/>
      <c r="D26" s="243" t="n"/>
      <c r="E26" s="243" t="inlineStr">
        <is>
          <t>Necesidad financiación / crédito puente (25%)</t>
        </is>
      </c>
      <c r="F26" s="330">
        <f>Calculations!B2*Assumptions!B23</f>
        <v/>
      </c>
      <c r="G26" s="243" t="n"/>
      <c r="H26" s="243" t="n"/>
      <c r="I26" s="243" t="inlineStr">
        <is>
          <t>TOTAL GASTOS COMERCIALES &amp; ADM.</t>
        </is>
      </c>
      <c r="J26" s="243" t="str"/>
      <c r="K26" s="330">
        <f>SUM(K23:K27)</f>
        <v/>
      </c>
      <c r="L26" s="331">
        <f>K28/Calculations!B2</f>
        <v/>
      </c>
      <c r="M26" s="243" t="n"/>
      <c r="N26" s="243" t="n"/>
      <c r="O26" s="243" t="n"/>
      <c r="P26" s="243" t="n"/>
    </row>
    <row r="27" ht="39.59999847412109" customHeight="1">
      <c r="A27" s="262" t="inlineStr">
        <is>
          <t>Licencias &amp; Permisos</t>
        </is>
      </c>
      <c r="B27" s="330">
        <f>Calculations!B6</f>
        <v/>
      </c>
      <c r="C27" s="243" t="n"/>
      <c r="D27" s="243" t="n"/>
      <c r="E27" s="249" t="inlineStr">
        <is>
          <t>TOTAL FINANCIACIÓN</t>
        </is>
      </c>
      <c r="F27" s="332">
        <f>SUM(F24:F26)</f>
        <v/>
      </c>
      <c r="G27" s="243" t="n"/>
      <c r="H27" s="243" t="n"/>
      <c r="I27" s="243" t="inlineStr">
        <is>
          <t>MARGEN OPERATIVO ANTES DE REPARTOS</t>
        </is>
      </c>
      <c r="J27" s="243" t="str"/>
      <c r="K27" s="330">
        <f>Calculations!B19</f>
        <v/>
      </c>
      <c r="L27" s="331">
        <f>K29/Calculations!B2</f>
        <v/>
      </c>
      <c r="M27" s="243" t="n"/>
      <c r="N27" s="243" t="n"/>
      <c r="O27" s="243" t="n"/>
      <c r="P27" s="243" t="n"/>
    </row>
    <row r="28" ht="26.39999961853027" customHeight="1">
      <c r="A28" s="262" t="inlineStr">
        <is>
          <t>Honorarios &amp; Profesionales</t>
        </is>
      </c>
      <c r="B28" s="330">
        <f>Calculations!B11</f>
        <v/>
      </c>
      <c r="C28" s="243" t="n"/>
      <c r="D28" s="243" t="n"/>
      <c r="E28" s="243" t="n"/>
      <c r="F28" s="243" t="n"/>
      <c r="G28" s="243" t="n"/>
      <c r="H28" s="243" t="n"/>
      <c r="I28" s="249" t="n"/>
      <c r="J28" s="249" t="n"/>
      <c r="K28" s="332" t="n"/>
      <c r="L28" s="333" t="n"/>
      <c r="M28" s="243" t="n"/>
      <c r="N28" s="243" t="n"/>
      <c r="O28" s="243" t="n"/>
      <c r="P28" s="243" t="n"/>
    </row>
    <row r="29" ht="39.59999847412109" customHeight="1">
      <c r="A29" s="262" t="inlineStr">
        <is>
          <t>Gastos Comerciales &amp; Admin.</t>
        </is>
      </c>
      <c r="B29" s="330">
        <f>Calculations!B17</f>
        <v/>
      </c>
      <c r="C29" s="243" t="n"/>
      <c r="D29" s="243" t="n"/>
      <c r="E29" s="243" t="n"/>
      <c r="F29" s="243" t="n"/>
      <c r="G29" s="243" t="n"/>
      <c r="H29" s="243" t="n"/>
      <c r="I29" s="249" t="n"/>
      <c r="J29" s="249" t="n"/>
      <c r="K29" s="332" t="n"/>
      <c r="L29" s="333" t="n"/>
      <c r="M29" s="243" t="n"/>
      <c r="N29" s="243" t="n"/>
      <c r="O29" s="243" t="n"/>
      <c r="P29" s="243" t="n"/>
    </row>
    <row r="30" ht="39.59999847412109" customHeight="1">
      <c r="A30" s="263" t="inlineStr">
        <is>
          <t>COSTE TOTAL DEL PROYECTO + REPARTOS</t>
        </is>
      </c>
      <c r="B30" s="332">
        <f>Calculations!B18+Calculations!B20+Calculations!B21</f>
        <v/>
      </c>
      <c r="C30" s="243" t="n"/>
      <c r="D30" s="243" t="n"/>
      <c r="E30" s="243" t="n"/>
      <c r="F30" s="243" t="n"/>
      <c r="G30" s="243" t="n"/>
      <c r="H30" s="243" t="n"/>
      <c r="I30" s="243" t="n"/>
      <c r="J30" s="243" t="n"/>
      <c r="K30" s="243" t="n"/>
      <c r="L30" s="243" t="n"/>
      <c r="M30" s="243" t="n"/>
      <c r="N30" s="243" t="n"/>
      <c r="O30" s="243" t="n"/>
      <c r="P30" s="243" t="n"/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4" t="n"/>
    </row>
    <row r="31" ht="57.59999847412109" customHeight="1">
      <c r="A31" s="262" t="n"/>
      <c r="B31" s="330" t="n"/>
      <c r="C31" s="243" t="n"/>
      <c r="D31" s="243" t="n"/>
      <c r="E31" s="243" t="n"/>
      <c r="F31" s="243" t="n"/>
      <c r="G31" s="243" t="n"/>
      <c r="H31" s="243" t="n"/>
      <c r="I31" s="274" t="inlineStr">
        <is>
          <t>CASH FLOW ESTIMADO – PHASE I (10 VILLAS)</t>
        </is>
      </c>
      <c r="Q31" s="243" t="n"/>
      <c r="R31" s="243" t="n"/>
      <c r="S31" s="243" t="n"/>
      <c r="T31" s="243" t="n"/>
      <c r="U31" s="243" t="n"/>
      <c r="V31" s="243" t="n"/>
      <c r="W31" s="243" t="n"/>
      <c r="X31" s="243" t="n"/>
      <c r="Y31" s="243" t="n"/>
      <c r="Z31" s="244" t="n"/>
    </row>
    <row r="32" ht="57.59999847412109" customHeight="1">
      <c r="A32" s="292" t="inlineStr">
        <is>
          <t>ROADMAP GENERAL DEL PROYECTO (50 VILLAS)</t>
        </is>
      </c>
      <c r="I32" s="242" t="inlineStr">
        <is>
          <t>HITO</t>
        </is>
      </c>
      <c r="J32" s="242" t="inlineStr">
        <is>
          <t>MES</t>
        </is>
      </c>
      <c r="K32" s="242" t="inlineStr">
        <is>
          <t>ENTRADAS (€)</t>
        </is>
      </c>
      <c r="L32" s="242" t="inlineStr">
        <is>
          <t>SALIDAS (€)</t>
        </is>
      </c>
      <c r="M32" s="242" t="inlineStr">
        <is>
          <t>CASH FLOW ACUMULADO (€)</t>
        </is>
      </c>
      <c r="N32" s="243" t="n"/>
      <c r="O32" s="243" t="n"/>
      <c r="P32" s="243" t="n"/>
      <c r="Q32" s="243" t="n"/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4" t="n"/>
    </row>
    <row r="33" ht="92.40000152587891" customHeight="1">
      <c r="A33" s="229" t="inlineStr">
        <is>
          <t>FASE I
10 VILLAS
Meses 0–14
Validación del mercado
Generación de caja</t>
        </is>
      </c>
      <c r="C33" s="226" t="inlineStr">
        <is>
          <t>→</t>
        </is>
      </c>
      <c r="D33" s="226" t="inlineStr">
        <is>
          <t>FASE II
20 VILLAS
Meses 14–24
Escalado del proyecto
con flujo propio</t>
        </is>
      </c>
      <c r="F33" s="226" t="inlineStr">
        <is>
          <t>→</t>
        </is>
      </c>
      <c r="G33" s="226" t="inlineStr">
        <is>
          <t>FASE III
20 VILLAS
Meses 24–36+
Expansión completa
masterplan</t>
        </is>
      </c>
      <c r="I33" s="243" t="inlineStr">
        <is>
          <t>Preventas &amp; Reservas (30%)</t>
        </is>
      </c>
      <c r="J33" s="243" t="inlineStr">
        <is>
          <t>2–4</t>
        </is>
      </c>
      <c r="K33" s="330">
        <f>Calculations!B2*Assumptions!B21</f>
        <v/>
      </c>
      <c r="L33" s="330" t="n">
        <v>0</v>
      </c>
      <c r="M33" s="330">
        <f>K33-L33</f>
        <v/>
      </c>
      <c r="N33" s="243" t="n"/>
      <c r="O33" s="243" t="n"/>
      <c r="P33" s="243" t="n"/>
      <c r="Q33" s="243" t="n"/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4" t="n"/>
    </row>
    <row r="34" ht="15" customHeight="1">
      <c r="A34" s="1" t="n"/>
      <c r="I34" s="243" t="inlineStr">
        <is>
          <t>Inicio Construcción</t>
        </is>
      </c>
      <c r="J34" s="243" t="inlineStr">
        <is>
          <t>6</t>
        </is>
      </c>
      <c r="K34" s="330" t="n">
        <v>0</v>
      </c>
      <c r="L34" s="330" t="n">
        <v>1500000</v>
      </c>
      <c r="M34" s="330">
        <f>M33+K34-L34</f>
        <v/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3" t="n"/>
      <c r="Y34" s="243" t="n"/>
      <c r="Z34" s="244" t="n"/>
    </row>
    <row r="35" ht="15" customHeight="1">
      <c r="A35" s="1" t="n"/>
      <c r="I35" s="243" t="inlineStr">
        <is>
          <t>Avance Obra 30%</t>
        </is>
      </c>
      <c r="J35" s="243" t="inlineStr">
        <is>
          <t>8</t>
        </is>
      </c>
      <c r="K35" s="330" t="n">
        <v>0</v>
      </c>
      <c r="L35" s="330" t="n">
        <v>1200000</v>
      </c>
      <c r="M35" s="330">
        <f>M34+K35-L35</f>
        <v/>
      </c>
      <c r="N35" s="243" t="n"/>
      <c r="O35" s="243" t="n"/>
      <c r="P35" s="243" t="n"/>
      <c r="Q35" s="243" t="n"/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4" t="n"/>
    </row>
    <row r="36" ht="15" customHeight="1">
      <c r="A36" s="1" t="n"/>
      <c r="I36" s="243" t="inlineStr">
        <is>
          <t>Avance Obra 60%</t>
        </is>
      </c>
      <c r="J36" s="243" t="inlineStr">
        <is>
          <t>10</t>
        </is>
      </c>
      <c r="K36" s="330" t="n">
        <v>0</v>
      </c>
      <c r="L36" s="330" t="n">
        <v>1000000</v>
      </c>
      <c r="M36" s="330">
        <f>M35+K36-L36</f>
        <v/>
      </c>
      <c r="N36" s="243" t="n"/>
      <c r="O36" s="243" t="n"/>
      <c r="P36" s="243" t="n"/>
      <c r="Q36" s="243" t="n"/>
      <c r="R36" s="243" t="n"/>
      <c r="S36" s="243" t="n"/>
      <c r="T36" s="243" t="n"/>
      <c r="U36" s="243" t="n"/>
      <c r="V36" s="243" t="n"/>
      <c r="W36" s="243" t="n"/>
      <c r="X36" s="243" t="n"/>
      <c r="Y36" s="243" t="n"/>
      <c r="Z36" s="244" t="n"/>
    </row>
    <row r="37" ht="15" customHeight="1">
      <c r="A37" s="262" t="n"/>
      <c r="B37" s="243" t="n"/>
      <c r="C37" s="243" t="n"/>
      <c r="D37" s="243" t="n"/>
      <c r="E37" s="243" t="n"/>
      <c r="F37" s="243" t="n"/>
      <c r="G37" s="243" t="n"/>
      <c r="H37" s="243" t="n"/>
      <c r="I37" s="243" t="inlineStr">
        <is>
          <t>Avance Obra 80%</t>
        </is>
      </c>
      <c r="J37" s="243" t="inlineStr">
        <is>
          <t>12</t>
        </is>
      </c>
      <c r="K37" s="330" t="n">
        <v>0</v>
      </c>
      <c r="L37" s="330" t="n">
        <v>800000</v>
      </c>
      <c r="M37" s="330">
        <f>M36+K37-L37</f>
        <v/>
      </c>
      <c r="N37" s="243" t="n"/>
      <c r="O37" s="243" t="n"/>
      <c r="P37" s="243" t="n"/>
      <c r="Q37" s="243" t="n"/>
      <c r="R37" s="243" t="n"/>
      <c r="S37" s="243" t="n"/>
      <c r="T37" s="243" t="n"/>
      <c r="U37" s="243" t="n"/>
      <c r="V37" s="243" t="n"/>
      <c r="W37" s="243" t="n"/>
      <c r="X37" s="243" t="n"/>
      <c r="Y37" s="243" t="n"/>
      <c r="Z37" s="244" t="n"/>
    </row>
    <row r="38" ht="43.20000076293945" customHeight="1">
      <c r="A38" s="292" t="inlineStr">
        <is>
          <t>FUENTES / NOTAS DEL MODELO</t>
        </is>
      </c>
      <c r="I38" s="243" t="inlineStr">
        <is>
          <t>Entrega &amp; Escrituración (70%)</t>
        </is>
      </c>
      <c r="J38" s="243" t="inlineStr">
        <is>
          <t>12–14</t>
        </is>
      </c>
      <c r="K38" s="330">
        <f>Calculations!B2*(1-Assumptions!B21)</f>
        <v/>
      </c>
      <c r="L38" s="330">
        <f>Calculations!B18-SUM(L34:L37)</f>
        <v/>
      </c>
      <c r="M38" s="330">
        <f>M37+K38-L38</f>
        <v/>
      </c>
      <c r="N38" s="243" t="n"/>
      <c r="O38" s="243" t="n"/>
      <c r="P38" s="243" t="n"/>
      <c r="Q38" s="243" t="n"/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4" t="n"/>
    </row>
    <row r="39" ht="172.8000030517578" customHeight="1">
      <c r="A39" s="339" t="inlineStr">
        <is>
          <t>Inputs principales: datos proporcionados por Fran/Pablo. Contrato Nick Maltese Studio: branded project, design &amp; artistic direction, 8% del Total Cost of Works; presentación SUMBA X LAMBORGHINI: Wild Coast Sumba Retreat, villas Type A/B, lenguaje arquitectónico y material board.</t>
        </is>
      </c>
      <c r="I39" s="249" t="inlineStr">
        <is>
          <t>TOTAL</t>
        </is>
      </c>
      <c r="J39" s="249" t="str"/>
      <c r="K39" s="332">
        <f>SUM(K33:K38)</f>
        <v/>
      </c>
      <c r="L39" s="332">
        <f>SUM(L33:L38)</f>
        <v/>
      </c>
      <c r="M39" s="332">
        <f>M38</f>
        <v/>
      </c>
      <c r="N39" s="243" t="n"/>
      <c r="O39" s="243" t="n"/>
      <c r="P39" s="243" t="n"/>
      <c r="Q39" s="243" t="n"/>
      <c r="R39" s="243" t="n"/>
      <c r="S39" s="243" t="n"/>
      <c r="T39" s="243" t="n"/>
      <c r="U39" s="243" t="n"/>
      <c r="V39" s="243" t="n"/>
      <c r="W39" s="243" t="n"/>
      <c r="X39" s="243" t="n"/>
      <c r="Y39" s="243" t="n"/>
      <c r="Z39" s="244" t="n"/>
    </row>
    <row r="40" ht="15" customHeight="1">
      <c r="A40" s="1" t="n"/>
      <c r="I40" s="243" t="n"/>
      <c r="J40" s="243" t="n"/>
      <c r="K40" s="243" t="n"/>
      <c r="L40" s="243" t="n"/>
      <c r="M40" s="243" t="n"/>
      <c r="N40" s="243" t="n"/>
      <c r="O40" s="243" t="n"/>
      <c r="P40" s="243" t="n"/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4" t="n"/>
    </row>
    <row r="41" ht="28.79999923706055" customHeight="1">
      <c r="A41" s="1" t="n"/>
      <c r="I41" s="274" t="inlineStr">
        <is>
          <t>RESULTADO FINAL</t>
        </is>
      </c>
    </row>
    <row r="42" ht="184.8000030517578" customHeight="1">
      <c r="A42" s="264" t="n"/>
      <c r="B42" s="265" t="n"/>
      <c r="C42" s="265" t="n"/>
      <c r="D42" s="265" t="n"/>
      <c r="E42" s="265" t="n"/>
      <c r="F42" s="265" t="n"/>
      <c r="G42" s="265" t="n"/>
      <c r="H42" s="265" t="n"/>
      <c r="I42" s="300" t="inlineStr">
        <is>
          <t>ESTA PRIMERA FASE FINANCIA EL CRECIMIENTO HACIA EL MASTERPLAN COMPLETO DE 50 VILLAS · 50 M€ VENTAS POTENCIALES · MARCA LAMBORGHINI · DISEÑO &amp; EXPERIENCIA ÚNICOS</t>
        </is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</sheetData>
  <mergeCells count="34">
    <mergeCell ref="S20:U21"/>
    <mergeCell ref="A23:D23"/>
    <mergeCell ref="C33:C36"/>
    <mergeCell ref="I41:Z41"/>
    <mergeCell ref="Q17:Z17"/>
    <mergeCell ref="A33:B36"/>
    <mergeCell ref="G33:H36"/>
    <mergeCell ref="A39:H41"/>
    <mergeCell ref="W24:Z29"/>
    <mergeCell ref="A1:Z3"/>
    <mergeCell ref="S11:Z11"/>
    <mergeCell ref="S24:T29"/>
    <mergeCell ref="D33:E36"/>
    <mergeCell ref="U24:V29"/>
    <mergeCell ref="S18:U19"/>
    <mergeCell ref="I42:Z42"/>
    <mergeCell ref="F33:F36"/>
    <mergeCell ref="E14:H14"/>
    <mergeCell ref="E23:H23"/>
    <mergeCell ref="A4:H13"/>
    <mergeCell ref="S6:Z6"/>
    <mergeCell ref="V18:Z19"/>
    <mergeCell ref="V20:Z21"/>
    <mergeCell ref="A32:H32"/>
    <mergeCell ref="Q23:Z23"/>
    <mergeCell ref="I4:P4"/>
    <mergeCell ref="S12:Z15"/>
    <mergeCell ref="Q4:Z4"/>
    <mergeCell ref="Q18:R19"/>
    <mergeCell ref="A38:H38"/>
    <mergeCell ref="Q20:R21"/>
    <mergeCell ref="Q24:R29"/>
    <mergeCell ref="A14:D14"/>
    <mergeCell ref="I31:P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9.3799991607666" customWidth="1" min="1" max="1"/>
    <col width="7.130000114440918" customWidth="1" min="2" max="2"/>
    <col width="8.380000114440918" customWidth="1" min="3" max="3"/>
    <col width="37.25" customWidth="1" min="4" max="4"/>
  </cols>
  <sheetData>
    <row r="1">
      <c r="A1" s="14" t="inlineStr">
        <is>
          <t>INPUT</t>
        </is>
      </c>
      <c r="B1" s="15" t="inlineStr">
        <is>
          <t>VALUE</t>
        </is>
      </c>
      <c r="C1" s="15" t="inlineStr">
        <is>
          <t>UNIT</t>
        </is>
      </c>
      <c r="D1" s="16" t="inlineStr">
        <is>
          <t>SOURCE / NOTE</t>
        </is>
      </c>
    </row>
    <row r="2">
      <c r="A2" s="17" t="inlineStr">
        <is>
          <t>Number of villas - Phase I</t>
        </is>
      </c>
      <c r="B2" s="18" t="n">
        <v>10</v>
      </c>
      <c r="C2" s="19" t="inlineStr">
        <is>
          <t>villas</t>
        </is>
      </c>
      <c r="D2" s="20" t="inlineStr">
        <is>
          <t>User-provided</t>
        </is>
      </c>
    </row>
    <row r="3">
      <c r="A3" s="17" t="inlineStr">
        <is>
          <t>Sale price per villa</t>
        </is>
      </c>
      <c r="B3" s="18" t="n">
        <v>1000000</v>
      </c>
      <c r="C3" s="19" t="inlineStr">
        <is>
          <t>EUR</t>
        </is>
      </c>
      <c r="D3" s="20" t="inlineStr">
        <is>
          <t>User-provided</t>
        </is>
      </c>
    </row>
    <row r="4">
      <c r="A4" s="17" t="inlineStr">
        <is>
          <t>Villa area</t>
        </is>
      </c>
      <c r="B4" s="18" t="n">
        <v>500</v>
      </c>
      <c r="C4" s="19" t="inlineStr">
        <is>
          <t>m²</t>
        </is>
      </c>
      <c r="D4" s="20" t="inlineStr">
        <is>
          <t>User-provided</t>
        </is>
      </c>
    </row>
    <row r="5">
      <c r="A5" s="17" t="inlineStr">
        <is>
          <t>Construction cost per villa</t>
        </is>
      </c>
      <c r="B5" s="18" t="n">
        <v>300000</v>
      </c>
      <c r="C5" s="19" t="inlineStr">
        <is>
          <t>EUR</t>
        </is>
      </c>
      <c r="D5" s="20" t="inlineStr">
        <is>
          <t>User-provided</t>
        </is>
      </c>
    </row>
    <row r="6">
      <c r="A6" s="17" t="inlineStr">
        <is>
          <t>Total project land</t>
        </is>
      </c>
      <c r="B6" s="18" t="n">
        <v>20000</v>
      </c>
      <c r="C6" s="19" t="inlineStr">
        <is>
          <t>m²</t>
        </is>
      </c>
      <c r="D6" s="20" t="inlineStr">
        <is>
          <t>User-provided: approx. 2 hectares</t>
        </is>
      </c>
    </row>
    <row r="7">
      <c r="A7" s="17" t="inlineStr">
        <is>
          <t>Land sale price / target value</t>
        </is>
      </c>
      <c r="B7" s="18" t="n">
        <v>200</v>
      </c>
      <c r="C7" s="19" t="inlineStr">
        <is>
          <t>EUR/m²</t>
        </is>
      </c>
      <c r="D7" s="20" t="inlineStr">
        <is>
          <t>User-provided</t>
        </is>
      </c>
    </row>
    <row r="8">
      <c r="A8" s="17" t="inlineStr">
        <is>
          <t>Land acquisition cost - Phase I</t>
        </is>
      </c>
      <c r="B8" s="18" t="n">
        <v>2000000</v>
      </c>
      <c r="C8" s="19" t="inlineStr">
        <is>
          <t>EUR</t>
        </is>
      </c>
      <c r="D8" s="20" t="inlineStr">
        <is>
          <t>Preliminary assumption from panel; editable</t>
        </is>
      </c>
    </row>
    <row r="9">
      <c r="A9" s="17" t="inlineStr">
        <is>
          <t>Urbanization &amp; infrastructure</t>
        </is>
      </c>
      <c r="B9" s="18" t="n">
        <v>500000</v>
      </c>
      <c r="C9" s="19" t="inlineStr">
        <is>
          <t>EUR</t>
        </is>
      </c>
      <c r="D9" s="20" t="inlineStr">
        <is>
          <t>Preliminary estimate; editable</t>
        </is>
      </c>
    </row>
    <row r="10">
      <c r="A10" s="17" t="inlineStr">
        <is>
          <t>Licenses &amp; permits</t>
        </is>
      </c>
      <c r="B10" s="18" t="n">
        <v>100000</v>
      </c>
      <c r="C10" s="19" t="inlineStr">
        <is>
          <t>EUR</t>
        </is>
      </c>
      <c r="D10" s="20" t="inlineStr">
        <is>
          <t>Preliminary estimate; editable</t>
        </is>
      </c>
    </row>
    <row r="11">
      <c r="A11" s="17" t="inlineStr">
        <is>
          <t>Nick Maltese Studio % of construction</t>
        </is>
      </c>
      <c r="B11" s="340" t="n">
        <v>0.08</v>
      </c>
      <c r="C11" s="19" t="inlineStr">
        <is>
          <t>%</t>
        </is>
      </c>
      <c r="D11" s="20" t="inlineStr">
        <is>
          <t>Engagement Agreement: Design Fee = 8% of TCW</t>
        </is>
      </c>
    </row>
    <row r="12">
      <c r="A12" s="17" t="inlineStr">
        <is>
          <t>Local architect &amp; engineering</t>
        </is>
      </c>
      <c r="B12" s="18" t="n">
        <v>120000</v>
      </c>
      <c r="C12" s="19" t="inlineStr">
        <is>
          <t>EUR</t>
        </is>
      </c>
      <c r="D12" s="20" t="inlineStr">
        <is>
          <t>Preliminary estimate; editable</t>
        </is>
      </c>
    </row>
    <row r="13">
      <c r="A13" s="17" t="inlineStr">
        <is>
          <t>Other technical professionals</t>
        </is>
      </c>
      <c r="B13" s="18" t="n">
        <v>80000</v>
      </c>
      <c r="C13" s="19" t="inlineStr">
        <is>
          <t>EUR</t>
        </is>
      </c>
      <c r="D13" s="20" t="inlineStr">
        <is>
          <t>Preliminary estimate; editable</t>
        </is>
      </c>
    </row>
    <row r="14">
      <c r="A14" s="17" t="inlineStr">
        <is>
          <t>Marketing &amp; branding</t>
        </is>
      </c>
      <c r="B14" s="18" t="n">
        <v>150000</v>
      </c>
      <c r="C14" s="19" t="inlineStr">
        <is>
          <t>EUR</t>
        </is>
      </c>
      <c r="D14" s="20" t="inlineStr">
        <is>
          <t>Preliminary estimate; editable</t>
        </is>
      </c>
    </row>
    <row r="15">
      <c r="A15" s="17" t="inlineStr">
        <is>
          <t>Sales commissions</t>
        </is>
      </c>
      <c r="B15" s="340" t="n">
        <v>0.03</v>
      </c>
      <c r="C15" s="19" t="inlineStr">
        <is>
          <t>% of sales</t>
        </is>
      </c>
      <c r="D15" s="20" t="inlineStr">
        <is>
          <t>Panel assumption</t>
        </is>
      </c>
    </row>
    <row r="16">
      <c r="A16" s="17" t="inlineStr">
        <is>
          <t>Legal &amp; notary</t>
        </is>
      </c>
      <c r="B16" s="18" t="n">
        <v>50000</v>
      </c>
      <c r="C16" s="19" t="inlineStr">
        <is>
          <t>EUR</t>
        </is>
      </c>
      <c r="D16" s="20" t="inlineStr">
        <is>
          <t>Preliminary estimate; editable</t>
        </is>
      </c>
    </row>
    <row r="17">
      <c r="A17" s="17" t="inlineStr">
        <is>
          <t>Administrative expenses</t>
        </is>
      </c>
      <c r="B17" s="18" t="n">
        <v>50000</v>
      </c>
      <c r="C17" s="19" t="inlineStr">
        <is>
          <t>EUR</t>
        </is>
      </c>
      <c r="D17" s="20" t="inlineStr">
        <is>
          <t>Preliminary estimate; editable</t>
        </is>
      </c>
    </row>
    <row r="18">
      <c r="A18" s="17" t="inlineStr">
        <is>
          <t>Insurance &amp; contingencies</t>
        </is>
      </c>
      <c r="B18" s="340" t="n">
        <v>0.02</v>
      </c>
      <c r="C18" s="19" t="inlineStr">
        <is>
          <t>% of sales</t>
        </is>
      </c>
      <c r="D18" s="20" t="inlineStr">
        <is>
          <t>Panel assumption</t>
        </is>
      </c>
    </row>
    <row r="19">
      <c r="A19" s="17" t="inlineStr">
        <is>
          <t>Tonino Lamborghini participation</t>
        </is>
      </c>
      <c r="B19" s="340" t="n">
        <v>0.03</v>
      </c>
      <c r="C19" s="19" t="inlineStr">
        <is>
          <t>% of profit</t>
        </is>
      </c>
      <c r="D19" s="20" t="inlineStr">
        <is>
          <t>User-provided: 3% of benefit</t>
        </is>
      </c>
    </row>
    <row r="20">
      <c r="A20" s="17" t="inlineStr">
        <is>
          <t>Brand introducer participation</t>
        </is>
      </c>
      <c r="B20" s="340" t="n">
        <v>0.01</v>
      </c>
      <c r="C20" s="19" t="inlineStr">
        <is>
          <t>% of profit</t>
        </is>
      </c>
      <c r="D20" s="20" t="inlineStr">
        <is>
          <t>User-provided: approx. 1% of benefit</t>
        </is>
      </c>
    </row>
    <row r="21">
      <c r="A21" s="17" t="inlineStr">
        <is>
          <t>Pre-sales</t>
        </is>
      </c>
      <c r="B21" s="340" t="n">
        <v>0.3</v>
      </c>
      <c r="C21" s="19" t="inlineStr">
        <is>
          <t>% of sales</t>
        </is>
      </c>
      <c r="D21" s="20" t="inlineStr">
        <is>
          <t>Panel financing structure</t>
        </is>
      </c>
    </row>
    <row r="22">
      <c r="A22" s="17" t="inlineStr">
        <is>
          <t>Partner equity contribution</t>
        </is>
      </c>
      <c r="B22" s="340" t="n">
        <v>0.35</v>
      </c>
      <c r="C22" s="19" t="inlineStr">
        <is>
          <t>% of sales</t>
        </is>
      </c>
      <c r="D22" s="20" t="inlineStr">
        <is>
          <t>Panel financing structure</t>
        </is>
      </c>
    </row>
    <row r="23">
      <c r="A23" s="17" t="inlineStr">
        <is>
          <t>Debt / bridge need</t>
        </is>
      </c>
      <c r="B23" s="340" t="n">
        <v>0.25</v>
      </c>
      <c r="C23" s="19" t="inlineStr">
        <is>
          <t>% of sales</t>
        </is>
      </c>
      <c r="D23" s="20" t="inlineStr">
        <is>
          <t>Panel financing structure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.3799991607666" customWidth="1" min="1" max="1"/>
    <col width="14.88000011444092" customWidth="1" min="2" max="2"/>
  </cols>
  <sheetData>
    <row r="1">
      <c r="A1" s="3" t="inlineStr">
        <is>
          <t>CALCULATION</t>
        </is>
      </c>
      <c r="B1" s="3" t="inlineStr">
        <is>
          <t>FORMULA / VALUE</t>
        </is>
      </c>
    </row>
    <row r="2">
      <c r="A2" t="inlineStr">
        <is>
          <t>Gross Sales</t>
        </is>
      </c>
      <c r="B2" s="341">
        <f>Assumptions!B2*Assumptions!B3</f>
        <v/>
      </c>
    </row>
    <row r="3">
      <c r="A3" t="inlineStr">
        <is>
          <t>Construction</t>
        </is>
      </c>
      <c r="B3" s="341">
        <f>Assumptions!B2*Assumptions!B5</f>
        <v/>
      </c>
    </row>
    <row r="4">
      <c r="A4" t="inlineStr">
        <is>
          <t>Land Acquisition</t>
        </is>
      </c>
      <c r="B4" s="341">
        <f>Assumptions!B8</f>
        <v/>
      </c>
    </row>
    <row r="5">
      <c r="A5" t="inlineStr">
        <is>
          <t>Urbanization &amp; Infrastructure</t>
        </is>
      </c>
      <c r="B5" s="341">
        <f>Assumptions!B9</f>
        <v/>
      </c>
    </row>
    <row r="6">
      <c r="A6" t="inlineStr">
        <is>
          <t>Licenses &amp; Permits</t>
        </is>
      </c>
      <c r="B6" s="341">
        <f>Assumptions!B10</f>
        <v/>
      </c>
    </row>
    <row r="7">
      <c r="A7" t="inlineStr">
        <is>
          <t>Total Direct Costs</t>
        </is>
      </c>
      <c r="B7" s="341">
        <f>SUM(B3:B6)</f>
        <v/>
      </c>
    </row>
    <row r="8">
      <c r="A8" t="inlineStr">
        <is>
          <t>Nick Maltese Studio</t>
        </is>
      </c>
      <c r="B8" s="341">
        <f>B3*Assumptions!B11</f>
        <v/>
      </c>
    </row>
    <row r="9">
      <c r="A9" t="inlineStr">
        <is>
          <t>Local Architect &amp; Engineering</t>
        </is>
      </c>
      <c r="B9" s="341">
        <f>Assumptions!B12</f>
        <v/>
      </c>
    </row>
    <row r="10">
      <c r="A10" t="inlineStr">
        <is>
          <t>Other Technical Professionals</t>
        </is>
      </c>
      <c r="B10" s="341">
        <f>Assumptions!B13</f>
        <v/>
      </c>
    </row>
    <row r="11">
      <c r="A11" t="inlineStr">
        <is>
          <t>Total Professional Fees</t>
        </is>
      </c>
      <c r="B11" s="341">
        <f>SUM(B8:B10)</f>
        <v/>
      </c>
    </row>
    <row r="12">
      <c r="A12" t="inlineStr">
        <is>
          <t>Marketing &amp; Branding</t>
        </is>
      </c>
      <c r="B12" s="341">
        <f>Assumptions!B14</f>
        <v/>
      </c>
    </row>
    <row r="13">
      <c r="A13" t="inlineStr">
        <is>
          <t>Sales Commissions</t>
        </is>
      </c>
      <c r="B13" s="341">
        <f>B2*Assumptions!B15</f>
        <v/>
      </c>
    </row>
    <row r="14">
      <c r="A14" t="inlineStr">
        <is>
          <t>Legal &amp; Notary</t>
        </is>
      </c>
      <c r="B14" s="341">
        <f>Assumptions!B16</f>
        <v/>
      </c>
    </row>
    <row r="15">
      <c r="A15" t="inlineStr">
        <is>
          <t>Administrative Expenses</t>
        </is>
      </c>
      <c r="B15" s="341">
        <f>Assumptions!B17</f>
        <v/>
      </c>
    </row>
    <row r="16">
      <c r="A16" t="inlineStr">
        <is>
          <t>Insurance &amp; Contingencies</t>
        </is>
      </c>
      <c r="B16" s="341">
        <f>B2*Assumptions!B18</f>
        <v/>
      </c>
    </row>
    <row r="17">
      <c r="A17" t="inlineStr">
        <is>
          <t>Total Commercial &amp; Admin</t>
        </is>
      </c>
      <c r="B17" s="341">
        <f>SUM(B12:B16)</f>
        <v/>
      </c>
    </row>
    <row r="18">
      <c r="A18" t="inlineStr">
        <is>
          <t>Total Project Cost</t>
        </is>
      </c>
      <c r="B18" s="341">
        <f>B7+B11+B17</f>
        <v/>
      </c>
    </row>
    <row r="19">
      <c r="A19" t="inlineStr">
        <is>
          <t>Operating Profit Before Splits</t>
        </is>
      </c>
      <c r="B19" s="341">
        <f>B2-B18</f>
        <v/>
      </c>
    </row>
    <row r="20">
      <c r="A20" t="inlineStr">
        <is>
          <t>Tonino Lamborghini Split</t>
        </is>
      </c>
      <c r="B20" s="341">
        <f>B19*Assumptions!B19</f>
        <v/>
      </c>
    </row>
    <row r="21">
      <c r="A21" t="inlineStr">
        <is>
          <t>Brand Introducer Split</t>
        </is>
      </c>
      <c r="B21" s="341">
        <f>B19*Assumptions!B20</f>
        <v/>
      </c>
    </row>
    <row r="22">
      <c r="A22" t="inlineStr">
        <is>
          <t>Net Profit LAWANG</t>
        </is>
      </c>
      <c r="B22" s="341">
        <f>B19-B20-B21</f>
        <v/>
      </c>
    </row>
    <row r="23">
      <c r="A23" t="inlineStr">
        <is>
          <t>Net Margin</t>
        </is>
      </c>
      <c r="B23" s="342">
        <f>B22/B2</f>
        <v/>
      </c>
    </row>
    <row r="24">
      <c r="A24" t="inlineStr">
        <is>
          <t>ROI on Total Cost</t>
        </is>
      </c>
      <c r="B24" s="342">
        <f>B22/B18</f>
        <v/>
      </c>
    </row>
    <row r="25">
      <c r="A25" t="inlineStr">
        <is>
          <t>ROI on Investment</t>
        </is>
      </c>
      <c r="B25" s="342">
        <f>B22/(B2*Assumptions!B22+B2*Assumptions!B23)</f>
        <v/>
      </c>
    </row>
    <row r="26">
      <c r="A26" t="inlineStr">
        <is>
          <t>Potential Land Value</t>
        </is>
      </c>
      <c r="B26" s="341">
        <f>Assumptions!B6*Assumptions!B7</f>
        <v/>
      </c>
    </row>
    <row r="27">
      <c r="A27" t="inlineStr">
        <is>
          <t>Land Upside</t>
        </is>
      </c>
      <c r="B27" s="341">
        <f>B26-Assumptions!B8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2026-06-29T03:40:23Z</dcterms:created>
  <dcterms:modified xsi:type="dcterms:W3CDTF">2026-06-29T03:40:23Z</dcterms:modified>
</cp:coreProperties>
</file>