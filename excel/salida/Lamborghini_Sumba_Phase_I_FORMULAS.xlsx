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Financiero" sheetId="1" state="visible" r:id="rId1"/>
    <sheet name="Supue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;[Red](&quot;€&quot;#,##0)"/>
    <numFmt numFmtId="165" formatCode="0.0%"/>
  </numFmts>
  <fonts count="16">
    <font>
      <name val="Calibri"/>
      <family val="2"/>
      <color theme="1"/>
      <sz val="11"/>
      <scheme val="minor"/>
    </font>
    <font>
      <name val="Georgia"/>
      <b val="1"/>
      <color rgb="FFF5F0E6"/>
      <sz val="13"/>
    </font>
    <font>
      <name val="Segoe UI"/>
      <i val="1"/>
      <color rgb="FFBEB3A5"/>
      <sz val="9"/>
    </font>
    <font>
      <name val="Segoe UI"/>
      <color rgb="FF2E3437"/>
      <sz val="11"/>
    </font>
    <font>
      <name val="Segoe UI"/>
      <b val="1"/>
      <color rgb="FF104C4F"/>
      <sz val="11"/>
    </font>
    <font>
      <name val="Segoe UI"/>
      <color rgb="FFBEB3A5"/>
      <sz val="9"/>
    </font>
    <font>
      <name val="Georgia"/>
      <b val="1"/>
      <color rgb="FFF5F0E6"/>
      <sz val="26"/>
    </font>
    <font>
      <name val="Georgia"/>
      <i val="1"/>
      <color rgb="FFF5F0E6"/>
      <sz val="11"/>
    </font>
    <font>
      <name val="Segoe UI"/>
      <b val="1"/>
      <color rgb="FF8F9B7A"/>
      <sz val="9"/>
    </font>
    <font>
      <name val="Segoe UI"/>
      <b val="1"/>
      <color rgb="FF2E3437"/>
      <sz val="9"/>
    </font>
    <font>
      <name val="Segoe UI"/>
      <color rgb="FFBEB3A5"/>
      <sz val="10"/>
    </font>
    <font>
      <name val="Segoe UI"/>
      <b val="1"/>
      <color rgb="FFF5F0E6"/>
      <sz val="11"/>
    </font>
    <font>
      <name val="Segoe UI"/>
      <color rgb="FFF5F0E6"/>
      <sz val="10"/>
    </font>
    <font>
      <name val="Georgia"/>
      <b val="1"/>
      <color rgb="FFF5F0E6"/>
      <sz val="22"/>
    </font>
    <font>
      <name val="Segoe UI"/>
      <b val="1"/>
      <color rgb="FF2E3437"/>
      <sz val="11"/>
    </font>
    <font>
      <name val="Segoe UI"/>
      <i val="1"/>
      <color rgb="FFBEB3A5"/>
      <sz val="8"/>
    </font>
  </fonts>
  <fills count="6">
    <fill>
      <patternFill/>
    </fill>
    <fill>
      <patternFill patternType="gray125"/>
    </fill>
    <fill>
      <patternFill patternType="solid">
        <fgColor rgb="FF485B37"/>
      </patternFill>
    </fill>
    <fill>
      <patternFill patternType="solid">
        <fgColor rgb="FFF5F0E6"/>
      </patternFill>
    </fill>
    <fill>
      <patternFill patternType="solid">
        <fgColor rgb="FFFBF8F2"/>
      </patternFill>
    </fill>
    <fill>
      <patternFill patternType="solid">
        <fgColor rgb="FF104C4F"/>
      </patternFill>
    </fill>
  </fills>
  <borders count="3">
    <border>
      <left/>
      <right/>
      <top/>
      <bottom/>
      <diagonal/>
    </border>
    <border>
      <bottom style="thin">
        <color rgb="FFBEB3A5"/>
      </bottom>
    </border>
    <border>
      <top style="medium">
        <color rgb="FFBEB3A5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right" vertical="center" indent="1"/>
    </xf>
    <xf numFmtId="0" fontId="0" fillId="5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0" fontId="11" fillId="5" borderId="2" applyAlignment="1" pivotButton="0" quotePrefix="0" xfId="0">
      <alignment horizontal="left" vertical="center" indent="1"/>
    </xf>
    <xf numFmtId="0" fontId="0" fillId="5" borderId="2" pivotButton="0" quotePrefix="0" xfId="0"/>
    <xf numFmtId="164" fontId="11" fillId="5" borderId="2" applyAlignment="1" pivotButton="0" quotePrefix="0" xfId="0">
      <alignment horizontal="right" vertical="center"/>
    </xf>
    <xf numFmtId="165" fontId="12" fillId="5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5" fontId="10" fillId="4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164" fontId="13" fillId="5" borderId="0" applyAlignment="1" pivotButton="0" quotePrefix="0" xfId="0">
      <alignment horizontal="left" vertical="center" indent="1"/>
    </xf>
    <xf numFmtId="165" fontId="13" fillId="5" borderId="0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/>
    </xf>
    <xf numFmtId="164" fontId="14" fillId="3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164" fontId="14" fillId="4" borderId="1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3" fontId="4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85B37"/>
    <outlinePr summaryBelow="1" summaryRight="1"/>
    <pageSetUpPr/>
  </sheetPr>
  <dimension ref="B1:I6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18" customWidth="1" min="4" max="4"/>
    <col width="15" customWidth="1" min="5" max="5"/>
    <col hidden="1" width="13" customWidth="1" min="8" max="8"/>
    <col hidden="1" width="13" customWidth="1" min="9" max="9"/>
  </cols>
  <sheetData>
    <row r="1" ht="46" customHeight="1">
      <c r="B1" s="1" t="inlineStr">
        <is>
          <t>L A W A N G</t>
        </is>
      </c>
      <c r="C1" s="2" t="n"/>
      <c r="D1" s="2" t="n"/>
      <c r="E1" s="2" t="n"/>
    </row>
    <row r="2" ht="24" customHeight="1">
      <c r="B2" s="3" t="inlineStr">
        <is>
          <t>Lamborghini Wild Coast Sumba  ·  Development Financial Plan  ·  Phase I</t>
        </is>
      </c>
      <c r="C2" s="2" t="n"/>
      <c r="D2" s="2" t="n"/>
      <c r="E2" s="2" t="n"/>
    </row>
    <row r="3" ht="20" customHeight="1">
      <c r="B3" s="4" t="inlineStr">
        <is>
          <t>OWN · THE · ETERNITY</t>
        </is>
      </c>
      <c r="C3" s="5" t="n"/>
      <c r="D3" s="5" t="n"/>
      <c r="E3" s="5" t="n"/>
    </row>
    <row r="4" ht="10" customHeight="1"/>
    <row r="5" ht="8" customHeight="1"/>
    <row r="6" ht="26" customHeight="1">
      <c r="B6" s="6" t="inlineStr">
        <is>
          <t>PROJECT SNAPSHOT — PHASE I</t>
        </is>
      </c>
      <c r="C6" s="2" t="n"/>
      <c r="D6" s="2" t="n"/>
      <c r="E6" s="2" t="n"/>
    </row>
    <row r="7" ht="20" customHeight="1">
      <c r="B7" s="7" t="inlineStr">
        <is>
          <t>Nº villas</t>
        </is>
      </c>
      <c r="C7" s="8" t="n"/>
      <c r="D7" s="9">
        <f>Supuestos!C5</f>
        <v/>
      </c>
      <c r="E7" s="8" t="n"/>
    </row>
    <row r="8" ht="20" customHeight="1">
      <c r="B8" s="10" t="inlineStr">
        <is>
          <t>Precio de venta por villa</t>
        </is>
      </c>
      <c r="C8" s="11" t="n"/>
      <c r="D8" s="12">
        <f>Supuestos!C6</f>
        <v/>
      </c>
      <c r="E8" s="11" t="n"/>
    </row>
    <row r="9" ht="20" customHeight="1">
      <c r="B9" s="7" t="inlineStr">
        <is>
          <t>Superficie por villa</t>
        </is>
      </c>
      <c r="C9" s="8" t="n"/>
      <c r="D9" s="9">
        <f>Supuestos!C7&amp;" m²"</f>
        <v/>
      </c>
      <c r="E9" s="8" t="n"/>
    </row>
    <row r="10" ht="20" customHeight="1">
      <c r="B10" s="10" t="inlineStr">
        <is>
          <t>Ventas totales (GDV)</t>
        </is>
      </c>
      <c r="C10" s="11" t="n"/>
      <c r="D10" s="12">
        <f>Supuestos!C5*Supuestos!C6</f>
        <v/>
      </c>
      <c r="E10" s="11" t="n"/>
    </row>
    <row r="11" ht="20" customHeight="1">
      <c r="B11" s="7" t="inlineStr">
        <is>
          <t>Inicio comercialización</t>
        </is>
      </c>
      <c r="C11" s="8" t="n"/>
      <c r="D11" s="9" t="inlineStr">
        <is>
          <t>Mes 2 – 4</t>
        </is>
      </c>
      <c r="E11" s="8" t="n"/>
    </row>
    <row r="12" ht="20" customHeight="1">
      <c r="B12" s="10" t="inlineStr">
        <is>
          <t>Entrega estimada</t>
        </is>
      </c>
      <c r="C12" s="11" t="n"/>
      <c r="D12" s="13" t="inlineStr">
        <is>
          <t>Mes 12 – 14</t>
        </is>
      </c>
      <c r="E12" s="11" t="n"/>
    </row>
    <row r="13" ht="8" customHeight="1"/>
    <row r="14" ht="26" customHeight="1">
      <c r="B14" s="6" t="inlineStr">
        <is>
          <t>ESTADO DE RESULTADOS — PHASE I</t>
        </is>
      </c>
      <c r="C14" s="2" t="n"/>
      <c r="D14" s="2" t="n"/>
      <c r="E14" s="2" t="n"/>
    </row>
    <row r="15" ht="18" customHeight="1">
      <c r="B15" s="14" t="inlineStr">
        <is>
          <t>CONCEPTO</t>
        </is>
      </c>
      <c r="C15" s="15" t="inlineStr">
        <is>
          <t>CÁLCULO</t>
        </is>
      </c>
      <c r="D15" s="16" t="inlineStr">
        <is>
          <t>IMPORTE</t>
        </is>
      </c>
      <c r="E15" s="16" t="inlineStr">
        <is>
          <t>% S/ VENTAS</t>
        </is>
      </c>
    </row>
    <row r="16" ht="20" customHeight="1">
      <c r="B16" s="7" t="inlineStr">
        <is>
          <t>Ventas de villas</t>
        </is>
      </c>
      <c r="C16" s="17" t="inlineStr">
        <is>
          <t>10 × 1.000.000 €</t>
        </is>
      </c>
      <c r="D16" s="18">
        <f>Supuestos!C5*Supuestos!C6</f>
        <v/>
      </c>
      <c r="E16" s="19">
        <f>D16/$D$16</f>
        <v/>
      </c>
    </row>
    <row r="17" ht="20" customHeight="1">
      <c r="B17" s="20" t="inlineStr">
        <is>
          <t>TOTAL INGRESOS</t>
        </is>
      </c>
      <c r="C17" s="21" t="n"/>
      <c r="D17" s="22">
        <f>D16</f>
        <v/>
      </c>
      <c r="E17" s="23">
        <f>D17/$D$16</f>
        <v/>
      </c>
    </row>
    <row r="18" ht="20" customHeight="1">
      <c r="B18" s="7" t="inlineStr">
        <is>
          <t>Construcción</t>
        </is>
      </c>
      <c r="C18" s="17" t="inlineStr">
        <is>
          <t>10 × 300.000 €</t>
        </is>
      </c>
      <c r="D18" s="18">
        <f>-Supuestos!C5*Supuestos!C8</f>
        <v/>
      </c>
      <c r="E18" s="19">
        <f>D18/$D$16</f>
        <v/>
      </c>
    </row>
    <row r="19" ht="20" customHeight="1">
      <c r="B19" s="10" t="inlineStr">
        <is>
          <t>Suelo (adquisición)</t>
        </is>
      </c>
      <c r="C19" s="24" t="inlineStr"/>
      <c r="D19" s="12">
        <f>-Supuestos!C11</f>
        <v/>
      </c>
      <c r="E19" s="25">
        <f>D19/$D$16</f>
        <v/>
      </c>
    </row>
    <row r="20" ht="20" customHeight="1">
      <c r="B20" s="7" t="inlineStr">
        <is>
          <t>Urbanización &amp; infraestructura</t>
        </is>
      </c>
      <c r="C20" s="17" t="inlineStr"/>
      <c r="D20" s="18">
        <f>-Supuestos!C12</f>
        <v/>
      </c>
      <c r="E20" s="19">
        <f>D20/$D$16</f>
        <v/>
      </c>
    </row>
    <row r="21" ht="20" customHeight="1">
      <c r="B21" s="10" t="inlineStr">
        <is>
          <t>Licencias &amp; permisos</t>
        </is>
      </c>
      <c r="C21" s="24" t="inlineStr"/>
      <c r="D21" s="12">
        <f>-Supuestos!C13</f>
        <v/>
      </c>
      <c r="E21" s="25">
        <f>D21/$D$16</f>
        <v/>
      </c>
    </row>
    <row r="22" ht="20" customHeight="1">
      <c r="B22" s="7" t="inlineStr">
        <is>
          <t>Nick Maltese Studio (diseño &amp; arq.)</t>
        </is>
      </c>
      <c r="C22" s="17" t="inlineStr">
        <is>
          <t>8% s/ construcción</t>
        </is>
      </c>
      <c r="D22" s="18">
        <f>-(Supuestos!C5*Supuestos!C8)*Supuestos!C14</f>
        <v/>
      </c>
      <c r="E22" s="19">
        <f>D22/$D$16</f>
        <v/>
      </c>
    </row>
    <row r="23" ht="20" customHeight="1">
      <c r="B23" s="10" t="inlineStr">
        <is>
          <t>Arquitecto local &amp; ingeniería</t>
        </is>
      </c>
      <c r="C23" s="24" t="inlineStr"/>
      <c r="D23" s="12">
        <f>-Supuestos!C15</f>
        <v/>
      </c>
      <c r="E23" s="25">
        <f>D23/$D$16</f>
        <v/>
      </c>
    </row>
    <row r="24" ht="20" customHeight="1">
      <c r="B24" s="7" t="inlineStr">
        <is>
          <t>Otros profesionales técnicos</t>
        </is>
      </c>
      <c r="C24" s="17" t="inlineStr"/>
      <c r="D24" s="18">
        <f>-Supuestos!C16</f>
        <v/>
      </c>
      <c r="E24" s="19">
        <f>D24/$D$16</f>
        <v/>
      </c>
    </row>
    <row r="25" ht="20" customHeight="1">
      <c r="B25" s="10" t="inlineStr">
        <is>
          <t>Marketing &amp; branding</t>
        </is>
      </c>
      <c r="C25" s="24" t="inlineStr"/>
      <c r="D25" s="12">
        <f>-Supuestos!C17</f>
        <v/>
      </c>
      <c r="E25" s="25">
        <f>D25/$D$16</f>
        <v/>
      </c>
    </row>
    <row r="26" ht="20" customHeight="1">
      <c r="B26" s="7" t="inlineStr">
        <is>
          <t>Comisiones comerciales</t>
        </is>
      </c>
      <c r="C26" s="17" t="inlineStr">
        <is>
          <t>% de ventas</t>
        </is>
      </c>
      <c r="D26" s="18">
        <f>-$D$16*Supuestos!C18</f>
        <v/>
      </c>
      <c r="E26" s="19">
        <f>D26/$D$16</f>
        <v/>
      </c>
    </row>
    <row r="27" ht="20" customHeight="1">
      <c r="B27" s="10" t="inlineStr">
        <is>
          <t>Gastos legales &amp; notaría</t>
        </is>
      </c>
      <c r="C27" s="24" t="inlineStr"/>
      <c r="D27" s="12">
        <f>-Supuestos!C19</f>
        <v/>
      </c>
      <c r="E27" s="25">
        <f>D27/$D$16</f>
        <v/>
      </c>
    </row>
    <row r="28" ht="20" customHeight="1">
      <c r="B28" s="7" t="inlineStr">
        <is>
          <t>Gastos administrativos</t>
        </is>
      </c>
      <c r="C28" s="17" t="inlineStr"/>
      <c r="D28" s="18">
        <f>-Supuestos!C20</f>
        <v/>
      </c>
      <c r="E28" s="19">
        <f>D28/$D$16</f>
        <v/>
      </c>
    </row>
    <row r="29" ht="20" customHeight="1">
      <c r="B29" s="10" t="inlineStr">
        <is>
          <t>Seguros &amp; contingencias</t>
        </is>
      </c>
      <c r="C29" s="24" t="inlineStr">
        <is>
          <t>% de ventas</t>
        </is>
      </c>
      <c r="D29" s="12">
        <f>-$D$16*Supuestos!C21</f>
        <v/>
      </c>
      <c r="E29" s="25">
        <f>D29/$D$16</f>
        <v/>
      </c>
    </row>
    <row r="30" ht="20" customHeight="1">
      <c r="B30" s="20" t="inlineStr">
        <is>
          <t>MARGEN OPERATIVO ANTES DE REPARTOS</t>
        </is>
      </c>
      <c r="C30" s="21" t="n"/>
      <c r="D30" s="22">
        <f>D16+SUM(D18:D29)</f>
        <v/>
      </c>
      <c r="E30" s="23">
        <f>D30/$D$16</f>
        <v/>
      </c>
    </row>
    <row r="31" ht="8" customHeight="1"/>
    <row r="32" ht="26" customHeight="1">
      <c r="B32" s="6" t="inlineStr">
        <is>
          <t>REPARTO DEL BENEFICIO</t>
        </is>
      </c>
      <c r="C32" s="2" t="n"/>
      <c r="D32" s="2" t="n"/>
      <c r="E32" s="2" t="n"/>
    </row>
    <row r="33" ht="20" customHeight="1">
      <c r="B33" s="7" t="inlineStr">
        <is>
          <t>Tonino Lamborghini</t>
        </is>
      </c>
      <c r="C33" s="17" t="inlineStr">
        <is>
          <t>3% del beneficio</t>
        </is>
      </c>
      <c r="D33" s="18">
        <f>-D30*Supuestos!C22</f>
        <v/>
      </c>
      <c r="E33" s="8" t="n"/>
    </row>
    <row r="34" ht="20" customHeight="1">
      <c r="B34" s="10" t="inlineStr">
        <is>
          <t>Introducción de marca</t>
        </is>
      </c>
      <c r="C34" s="24" t="inlineStr">
        <is>
          <t>1% del beneficio</t>
        </is>
      </c>
      <c r="D34" s="12">
        <f>-D30*Supuestos!C23</f>
        <v/>
      </c>
      <c r="E34" s="11" t="n"/>
    </row>
    <row r="35" ht="20" customHeight="1">
      <c r="B35" s="20" t="inlineStr">
        <is>
          <t>BENEFICIO NETO PARA LAWANG (Fran &amp; Pablo)</t>
        </is>
      </c>
      <c r="C35" s="21" t="n"/>
      <c r="D35" s="22">
        <f>D30+D33+D34</f>
        <v/>
      </c>
      <c r="E35" s="21" t="n"/>
    </row>
    <row r="36" ht="8" customHeight="1"/>
    <row r="37" ht="26" customHeight="1">
      <c r="B37" s="6" t="inlineStr">
        <is>
          <t>MÉTRICAS CLAVE — PHASE I</t>
        </is>
      </c>
      <c r="C37" s="2" t="n"/>
      <c r="D37" s="2" t="n"/>
      <c r="E37" s="2" t="n"/>
    </row>
    <row r="38" ht="18" customHeight="1">
      <c r="B38" s="26" t="inlineStr">
        <is>
          <t>VENTAS (GDV)</t>
        </is>
      </c>
      <c r="C38" s="5" t="n"/>
      <c r="D38" s="5" t="n"/>
      <c r="E38" s="5" t="n"/>
    </row>
    <row r="39" ht="36" customHeight="1">
      <c r="B39" s="27">
        <f>D16</f>
        <v/>
      </c>
      <c r="C39" s="5" t="n"/>
      <c r="D39" s="5" t="n"/>
      <c r="E39" s="5" t="n"/>
    </row>
    <row r="40" ht="6" customHeight="1"/>
    <row r="41" ht="18" customHeight="1">
      <c r="B41" s="26" t="inlineStr">
        <is>
          <t>BENEFICIO NETO LAWANG</t>
        </is>
      </c>
      <c r="C41" s="5" t="n"/>
      <c r="D41" s="5" t="n"/>
      <c r="E41" s="5" t="n"/>
    </row>
    <row r="42" ht="36" customHeight="1">
      <c r="B42" s="27">
        <f>D35</f>
        <v/>
      </c>
      <c r="C42" s="5" t="n"/>
      <c r="D42" s="5" t="n"/>
      <c r="E42" s="5" t="n"/>
    </row>
    <row r="43" ht="6" customHeight="1"/>
    <row r="44" ht="18" customHeight="1">
      <c r="B44" s="26" t="inlineStr">
        <is>
          <t>MARGEN NETO SOBRE VENTAS</t>
        </is>
      </c>
      <c r="C44" s="5" t="n"/>
      <c r="D44" s="5" t="n"/>
      <c r="E44" s="5" t="n"/>
    </row>
    <row r="45" ht="36" customHeight="1">
      <c r="B45" s="28">
        <f>D35/D16</f>
        <v/>
      </c>
      <c r="C45" s="5" t="n"/>
      <c r="D45" s="5" t="n"/>
      <c r="E45" s="5" t="n"/>
    </row>
    <row r="46" ht="6" customHeight="1"/>
    <row r="47" ht="18" customHeight="1">
      <c r="B47" s="26" t="inlineStr">
        <is>
          <t>ROI SOBRE COSTE TOTAL</t>
        </is>
      </c>
      <c r="C47" s="5" t="n"/>
      <c r="D47" s="5" t="n"/>
      <c r="E47" s="5" t="n"/>
    </row>
    <row r="48" ht="36" customHeight="1">
      <c r="B48" s="28">
        <f>D35/-SUM(D18:D29)</f>
        <v/>
      </c>
      <c r="C48" s="5" t="n"/>
      <c r="D48" s="5" t="n"/>
      <c r="E48" s="5" t="n"/>
    </row>
    <row r="49" ht="6" customHeight="1"/>
    <row r="50" ht="18" customHeight="1">
      <c r="B50" s="26" t="inlineStr">
        <is>
          <t>ROI SOBRE INVERSIÓN TOTAL</t>
        </is>
      </c>
      <c r="C50" s="5" t="n"/>
      <c r="D50" s="5" t="n"/>
      <c r="E50" s="5" t="n"/>
    </row>
    <row r="51" ht="36" customHeight="1">
      <c r="B51" s="28">
        <f>D35/(D16*(Supuestos!C25+Supuestos!C26))</f>
        <v/>
      </c>
      <c r="C51" s="5" t="n"/>
      <c r="D51" s="5" t="n"/>
      <c r="E51" s="5" t="n"/>
    </row>
    <row r="52" ht="6" customHeight="1"/>
    <row r="53" ht="8" customHeight="1"/>
    <row r="54" ht="26" customHeight="1">
      <c r="B54" s="6" t="inlineStr">
        <is>
          <t>CASH FLOW ESTIMADO — PHASE I</t>
        </is>
      </c>
      <c r="C54" s="2" t="n"/>
      <c r="D54" s="2" t="n"/>
      <c r="E54" s="2" t="n"/>
    </row>
    <row r="55" ht="18" customHeight="1">
      <c r="B55" s="14" t="inlineStr">
        <is>
          <t>HITO</t>
        </is>
      </c>
      <c r="C55" s="15" t="inlineStr">
        <is>
          <t>MES</t>
        </is>
      </c>
      <c r="D55" s="16" t="inlineStr">
        <is>
          <t>FLUJO</t>
        </is>
      </c>
      <c r="E55" s="16" t="inlineStr">
        <is>
          <t>ACUMULADO</t>
        </is>
      </c>
    </row>
    <row r="56" ht="20" customHeight="1">
      <c r="B56" s="7" t="inlineStr">
        <is>
          <t>Preventas &amp; Reservas (30%)</t>
        </is>
      </c>
      <c r="C56" s="29" t="inlineStr">
        <is>
          <t>2 – 4</t>
        </is>
      </c>
      <c r="D56" s="18">
        <f>H56-I56</f>
        <v/>
      </c>
      <c r="E56" s="30">
        <f>D56</f>
        <v/>
      </c>
      <c r="H56" t="n">
        <v>3000000</v>
      </c>
      <c r="I56" t="n">
        <v>0</v>
      </c>
    </row>
    <row r="57" ht="20" customHeight="1">
      <c r="B57" s="10" t="inlineStr">
        <is>
          <t>Inicio construcción</t>
        </is>
      </c>
      <c r="C57" s="31" t="inlineStr">
        <is>
          <t>6</t>
        </is>
      </c>
      <c r="D57" s="12">
        <f>H57-I57</f>
        <v/>
      </c>
      <c r="E57" s="32">
        <f>E56+D57</f>
        <v/>
      </c>
      <c r="H57" t="n">
        <v>0</v>
      </c>
      <c r="I57" t="n">
        <v>1500000</v>
      </c>
    </row>
    <row r="58" ht="20" customHeight="1">
      <c r="B58" s="7" t="inlineStr">
        <is>
          <t>Avance obra 30%</t>
        </is>
      </c>
      <c r="C58" s="29" t="inlineStr">
        <is>
          <t>8</t>
        </is>
      </c>
      <c r="D58" s="18">
        <f>H58-I58</f>
        <v/>
      </c>
      <c r="E58" s="30">
        <f>E57+D58</f>
        <v/>
      </c>
      <c r="H58" t="n">
        <v>0</v>
      </c>
      <c r="I58" t="n">
        <v>1200000</v>
      </c>
    </row>
    <row r="59" ht="20" customHeight="1">
      <c r="B59" s="10" t="inlineStr">
        <is>
          <t>Avance obra 60%</t>
        </is>
      </c>
      <c r="C59" s="31" t="inlineStr">
        <is>
          <t>10</t>
        </is>
      </c>
      <c r="D59" s="12">
        <f>H59-I59</f>
        <v/>
      </c>
      <c r="E59" s="32">
        <f>E58+D59</f>
        <v/>
      </c>
      <c r="H59" t="n">
        <v>0</v>
      </c>
      <c r="I59" t="n">
        <v>1000000</v>
      </c>
    </row>
    <row r="60" ht="20" customHeight="1">
      <c r="B60" s="7" t="inlineStr">
        <is>
          <t>Avance obra 90%</t>
        </is>
      </c>
      <c r="C60" s="29" t="inlineStr">
        <is>
          <t>12</t>
        </is>
      </c>
      <c r="D60" s="18">
        <f>H60-I60</f>
        <v/>
      </c>
      <c r="E60" s="30">
        <f>E59+D60</f>
        <v/>
      </c>
      <c r="H60" t="n">
        <v>0</v>
      </c>
      <c r="I60" t="n">
        <v>800000</v>
      </c>
    </row>
    <row r="61" ht="20" customHeight="1">
      <c r="B61" s="10" t="inlineStr">
        <is>
          <t>Entrega &amp; escrituración (70%)</t>
        </is>
      </c>
      <c r="C61" s="31" t="inlineStr">
        <is>
          <t>12 – 14</t>
        </is>
      </c>
      <c r="D61" s="12">
        <f>H61-I61</f>
        <v/>
      </c>
      <c r="E61" s="32">
        <f>E60+D61</f>
        <v/>
      </c>
      <c r="H61" t="n">
        <v>7000000</v>
      </c>
      <c r="I61" t="n">
        <v>418400</v>
      </c>
    </row>
    <row r="62" ht="8" customHeight="1"/>
    <row r="63" ht="26" customHeight="1">
      <c r="B63" s="6" t="inlineStr">
        <is>
          <t>VALOR DEL SUELO</t>
        </is>
      </c>
      <c r="C63" s="2" t="n"/>
      <c r="D63" s="2" t="n"/>
      <c r="E63" s="2" t="n"/>
    </row>
    <row r="64" ht="20" customHeight="1">
      <c r="B64" s="7" t="inlineStr">
        <is>
          <t>Coste de adquisición</t>
        </is>
      </c>
      <c r="C64" s="17">
        <f>Supuestos!C11/Supuestos!C9&amp;" €/m²"</f>
        <v/>
      </c>
      <c r="D64" s="18">
        <f>Supuestos!C11</f>
        <v/>
      </c>
      <c r="E64" s="8" t="n"/>
    </row>
    <row r="65" ht="20" customHeight="1">
      <c r="B65" s="10" t="inlineStr">
        <is>
          <t>Valor potencial del suelo</t>
        </is>
      </c>
      <c r="C65" s="24" t="inlineStr">
        <is>
          <t>20000 m² × 200 €/m²</t>
        </is>
      </c>
      <c r="D65" s="12">
        <f>Supuestos!C9*Supuestos!C10</f>
        <v/>
      </c>
      <c r="E65" s="11" t="n"/>
    </row>
    <row r="66" ht="20" customHeight="1">
      <c r="B66" s="20" t="inlineStr">
        <is>
          <t>Plusvalía estimada</t>
        </is>
      </c>
      <c r="C66" s="21" t="n"/>
      <c r="D66" s="22">
        <f>D65-D64</f>
        <v/>
      </c>
      <c r="E66" s="21" t="n"/>
    </row>
    <row r="68">
      <c r="B68" s="33" t="inlineStr">
        <is>
          <t>AxisWorks · Documento de inversión confidencial — Lawang Estate</t>
        </is>
      </c>
    </row>
  </sheetData>
  <mergeCells count="20">
    <mergeCell ref="B6:E6"/>
    <mergeCell ref="B68:E68"/>
    <mergeCell ref="B51:E51"/>
    <mergeCell ref="B32:E32"/>
    <mergeCell ref="B45:E45"/>
    <mergeCell ref="B63:E63"/>
    <mergeCell ref="B41:E41"/>
    <mergeCell ref="B50:E50"/>
    <mergeCell ref="B54:E54"/>
    <mergeCell ref="B3:E3"/>
    <mergeCell ref="B47:E47"/>
    <mergeCell ref="B48:E48"/>
    <mergeCell ref="B39:E39"/>
    <mergeCell ref="B2:E2"/>
    <mergeCell ref="B42:E42"/>
    <mergeCell ref="B14:E14"/>
    <mergeCell ref="B1:E1"/>
    <mergeCell ref="B38:E38"/>
    <mergeCell ref="B44:E44"/>
    <mergeCell ref="B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10" customWidth="1" min="4" max="4"/>
  </cols>
  <sheetData>
    <row r="2" ht="26" customHeight="1">
      <c r="B2" s="6" t="inlineStr">
        <is>
          <t>SUPUESTOS — EDITABLES</t>
        </is>
      </c>
      <c r="C2" s="2" t="n"/>
      <c r="D2" s="2" t="n"/>
    </row>
    <row r="3" ht="16" customHeight="1">
      <c r="B3" s="34" t="inlineStr">
        <is>
          <t>Cambia un valor y todo el Plan Financiero se recalcula.</t>
        </is>
      </c>
    </row>
    <row r="5" ht="20" customHeight="1">
      <c r="B5" s="7" t="inlineStr">
        <is>
          <t>Nº villas (fase)</t>
        </is>
      </c>
      <c r="C5" s="35" t="n">
        <v>10</v>
      </c>
      <c r="D5" s="17" t="inlineStr">
        <is>
          <t>villas</t>
        </is>
      </c>
    </row>
    <row r="6" ht="20" customHeight="1">
      <c r="B6" s="10" t="inlineStr">
        <is>
          <t>Precio de venta por villa</t>
        </is>
      </c>
      <c r="C6" s="36" t="n">
        <v>1000000</v>
      </c>
      <c r="D6" s="24" t="inlineStr">
        <is>
          <t>€</t>
        </is>
      </c>
    </row>
    <row r="7" ht="20" customHeight="1">
      <c r="B7" s="7" t="inlineStr">
        <is>
          <t>Superficie por villa</t>
        </is>
      </c>
      <c r="C7" s="35" t="n">
        <v>500</v>
      </c>
      <c r="D7" s="17" t="inlineStr">
        <is>
          <t>m²</t>
        </is>
      </c>
    </row>
    <row r="8" ht="20" customHeight="1">
      <c r="B8" s="10" t="inlineStr">
        <is>
          <t>Coste de construcción por villa</t>
        </is>
      </c>
      <c r="C8" s="36" t="n">
        <v>300000</v>
      </c>
      <c r="D8" s="24" t="inlineStr">
        <is>
          <t>€</t>
        </is>
      </c>
    </row>
    <row r="9" ht="20" customHeight="1">
      <c r="B9" s="7" t="inlineStr">
        <is>
          <t>Superficie total del proyecto</t>
        </is>
      </c>
      <c r="C9" s="35" t="n">
        <v>20000</v>
      </c>
      <c r="D9" s="17" t="inlineStr">
        <is>
          <t>m²</t>
        </is>
      </c>
    </row>
    <row r="10" ht="20" customHeight="1">
      <c r="B10" s="10" t="inlineStr">
        <is>
          <t>Precio / valor objetivo del suelo</t>
        </is>
      </c>
      <c r="C10" s="36" t="n">
        <v>200</v>
      </c>
      <c r="D10" s="24" t="inlineStr">
        <is>
          <t>€/m²</t>
        </is>
      </c>
    </row>
    <row r="11" ht="20" customHeight="1">
      <c r="B11" s="7" t="inlineStr">
        <is>
          <t>Coste de adquisición del suelo</t>
        </is>
      </c>
      <c r="C11" s="37" t="n">
        <v>2000000</v>
      </c>
      <c r="D11" s="17" t="inlineStr">
        <is>
          <t>€</t>
        </is>
      </c>
    </row>
    <row r="12" ht="20" customHeight="1">
      <c r="B12" s="10" t="inlineStr">
        <is>
          <t>Urbanización &amp; infraestructura</t>
        </is>
      </c>
      <c r="C12" s="36" t="n">
        <v>500000</v>
      </c>
      <c r="D12" s="24" t="inlineStr">
        <is>
          <t>€</t>
        </is>
      </c>
    </row>
    <row r="13" ht="20" customHeight="1">
      <c r="B13" s="7" t="inlineStr">
        <is>
          <t>Licencias &amp; permisos</t>
        </is>
      </c>
      <c r="C13" s="37" t="n">
        <v>100000</v>
      </c>
      <c r="D13" s="17" t="inlineStr">
        <is>
          <t>€</t>
        </is>
      </c>
    </row>
    <row r="14" ht="20" customHeight="1">
      <c r="B14" s="10" t="inlineStr">
        <is>
          <t>Nick Maltese Studio (% s/ construcción)</t>
        </is>
      </c>
      <c r="C14" s="38" t="n">
        <v>0.08</v>
      </c>
      <c r="D14" s="24" t="inlineStr">
        <is>
          <t>%</t>
        </is>
      </c>
    </row>
    <row r="15" ht="20" customHeight="1">
      <c r="B15" s="7" t="inlineStr">
        <is>
          <t>Arquitecto local &amp; ingeniería</t>
        </is>
      </c>
      <c r="C15" s="37" t="n">
        <v>120000</v>
      </c>
      <c r="D15" s="17" t="inlineStr">
        <is>
          <t>€</t>
        </is>
      </c>
    </row>
    <row r="16" ht="20" customHeight="1">
      <c r="B16" s="10" t="inlineStr">
        <is>
          <t>Otros profesionales técnicos</t>
        </is>
      </c>
      <c r="C16" s="36" t="n">
        <v>80000</v>
      </c>
      <c r="D16" s="24" t="inlineStr">
        <is>
          <t>€</t>
        </is>
      </c>
    </row>
    <row r="17" ht="20" customHeight="1">
      <c r="B17" s="7" t="inlineStr">
        <is>
          <t>Marketing &amp; branding</t>
        </is>
      </c>
      <c r="C17" s="37" t="n">
        <v>150000</v>
      </c>
      <c r="D17" s="17" t="inlineStr">
        <is>
          <t>€</t>
        </is>
      </c>
    </row>
    <row r="18" ht="20" customHeight="1">
      <c r="B18" s="10" t="inlineStr">
        <is>
          <t>Comisiones comerciales (% s/ ventas)</t>
        </is>
      </c>
      <c r="C18" s="38" t="n">
        <v>0.03</v>
      </c>
      <c r="D18" s="24" t="inlineStr">
        <is>
          <t>%</t>
        </is>
      </c>
    </row>
    <row r="19" ht="20" customHeight="1">
      <c r="B19" s="7" t="inlineStr">
        <is>
          <t>Gastos legales &amp; notaría</t>
        </is>
      </c>
      <c r="C19" s="37" t="n">
        <v>50000</v>
      </c>
      <c r="D19" s="17" t="inlineStr">
        <is>
          <t>€</t>
        </is>
      </c>
    </row>
    <row r="20" ht="20" customHeight="1">
      <c r="B20" s="10" t="inlineStr">
        <is>
          <t>Gastos administrativos</t>
        </is>
      </c>
      <c r="C20" s="36" t="n">
        <v>50000</v>
      </c>
      <c r="D20" s="24" t="inlineStr">
        <is>
          <t>€</t>
        </is>
      </c>
    </row>
    <row r="21" ht="20" customHeight="1">
      <c r="B21" s="7" t="inlineStr">
        <is>
          <t>Seguros &amp; contingencias (% s/ ventas)</t>
        </is>
      </c>
      <c r="C21" s="39" t="n">
        <v>0.02</v>
      </c>
      <c r="D21" s="17" t="inlineStr">
        <is>
          <t>%</t>
        </is>
      </c>
    </row>
    <row r="22" ht="20" customHeight="1">
      <c r="B22" s="10" t="inlineStr">
        <is>
          <t>Tonino Lamborghini (% s/ beneficio)</t>
        </is>
      </c>
      <c r="C22" s="38" t="n">
        <v>0.03</v>
      </c>
      <c r="D22" s="24" t="inlineStr">
        <is>
          <t>%</t>
        </is>
      </c>
    </row>
    <row r="23" ht="20" customHeight="1">
      <c r="B23" s="7" t="inlineStr">
        <is>
          <t>Introductor de marca (% s/ beneficio)</t>
        </is>
      </c>
      <c r="C23" s="39" t="n">
        <v>0.01</v>
      </c>
      <c r="D23" s="17" t="inlineStr">
        <is>
          <t>%</t>
        </is>
      </c>
    </row>
    <row r="24" ht="20" customHeight="1">
      <c r="B24" s="10" t="inlineStr">
        <is>
          <t>Preventas (% s/ ventas)</t>
        </is>
      </c>
      <c r="C24" s="38" t="n">
        <v>0.3</v>
      </c>
      <c r="D24" s="24" t="inlineStr">
        <is>
          <t>%</t>
        </is>
      </c>
    </row>
    <row r="25" ht="20" customHeight="1">
      <c r="B25" s="7" t="inlineStr">
        <is>
          <t>Aportación socios (% s/ ventas)</t>
        </is>
      </c>
      <c r="C25" s="39" t="n">
        <v>0.35</v>
      </c>
      <c r="D25" s="17" t="inlineStr">
        <is>
          <t>%</t>
        </is>
      </c>
    </row>
    <row r="26" ht="20" customHeight="1">
      <c r="B26" s="10" t="inlineStr">
        <is>
          <t>Deuda / crédito puente (% s/ ventas)</t>
        </is>
      </c>
      <c r="C26" s="38" t="n">
        <v>0.25</v>
      </c>
      <c r="D26" s="24" t="inlineStr">
        <is>
          <t>%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2026-06-29T04:33:02Z</dcterms:created>
  <dcterms:modified xsi:type="dcterms:W3CDTF">2026-06-29T04:33:02Z</dcterms:modified>
</cp:coreProperties>
</file>