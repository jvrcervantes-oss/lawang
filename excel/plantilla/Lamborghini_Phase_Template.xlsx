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6132a62de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I Dashboard" sheetId="1" r:id="R1bbaf81bcfcb4874"/>
    <x:sheet xmlns:r="http://schemas.openxmlformats.org/officeDocument/2006/relationships" name="Assumptions" sheetId="2" r:id="R321723a84ebf41a9"/>
    <x:sheet xmlns:r="http://schemas.openxmlformats.org/officeDocument/2006/relationships" name="Calculations" sheetId="3" r:id="R4ea8a7951a98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€#,##0;[Red](€#,##0);-"/>
    <x:numFmt numFmtId="202" formatCode="0.0%;[Red](0.0%);-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8"/>
      <x:color rgb="FFFFFFFF"/>
      <x:name val="Carlito"/>
    </x:font>
    <x:font>
      <x:b/>
      <x:sz val="14"/>
      <x:color rgb="FFFFFFFF"/>
      <x:name val="Carlito"/>
    </x:font>
    <x:font>
      <x:b/>
      <x:sz val="12"/>
      <x:color rgb="FFD6B35A"/>
      <x:name val="Carlito"/>
    </x:font>
    <x:font>
      <x:b/>
      <x:sz val="11"/>
      <x:color rgb="FF2E6B2E"/>
      <x:name val="Carlito"/>
    </x:font>
    <x:font>
      <x:b/>
      <x:sz val="18"/>
      <x:color rgb="FFD6B35A"/>
      <x:name val="Carlito"/>
    </x:font>
    <x:font>
      <x:b/>
      <x:sz val="12"/>
      <x:color rgb="FF000000"/>
      <x:name val="Carlito"/>
    </x:font>
    <x:font>
      <x:b/>
      <x:sz val="11"/>
      <x:color rgb="FFD6B35A"/>
      <x:name val="Carlito"/>
    </x:font>
    <x:font>
      <x:sz val="11"/>
      <x:color rgb="FF000000"/>
      <x:name val="Carlito"/>
    </x:font>
    <x:font>
      <x:sz val="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50505"/>
      </x:patternFill>
    </x:fill>
    <x:fill>
      <x:patternFill patternType="solid">
        <x:fgColor rgb="FFFBF7EF"/>
      </x:patternFill>
    </x:fill>
    <x:fill>
      <x:patternFill patternType="solid">
        <x:fgColor rgb="FF171717"/>
      </x:patternFill>
    </x:fill>
    <x:fill>
      <x:patternFill patternType="solid">
        <x:fgColor rgb="FFF3E3B7"/>
      </x:patternFill>
    </x:fill>
    <x:fill>
      <x:patternFill patternType="solid">
        <x:fgColor rgb="FFEEE0BD"/>
      </x:patternFill>
    </x:fill>
    <x:fill>
      <x:patternFill patternType="solid">
        <x:fgColor rgb="FFB88A22"/>
      </x:patternFill>
    </x:fill>
    <x:fill>
      <x:patternFill patternType="solid">
        <x:fgColor rgb="FFF1E3C2"/>
      </x:patternFill>
    </x:fill>
    <x:fill>
      <x:patternFill patternType="solid">
        <x:fgColor rgb="FFE8D19A"/>
      </x:patternFill>
    </x:fill>
    <x:fill>
      <x:patternFill patternType="solid">
        <x:fgColor rgb="FFF7F1E3"/>
      </x:patternFill>
    </x:fill>
  </x:fills>
  <x:borders count="24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bottom/>
    </x:border>
    <x:border>
      <x:top/>
      <x:bottom/>
    </x:border>
    <x:border>
      <x:bottom/>
    </x:border>
    <x:border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3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3" fillId="0" borderId="6" xfId="0" applyNumberFormat="1" applyFont="1" applyFill="1" applyBorder="1"/>
    <x:xf numFmtId="0" fontId="1" fillId="2" borderId="8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/>
    </x:xf>
    <x:xf numFmtId="0" fontId="2" fillId="0" borderId="11" xfId="0" applyNumberFormat="1" applyFont="1" applyFill="1" applyBorder="1"/>
    <x:xf numFmtId="0" fontId="3" fillId="0" borderId="12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3" fillId="0" borderId="12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2" fillId="5" borderId="0" xfId="0" applyNumberFormat="1" applyFont="1" applyFill="1" applyBorder="1"/>
    <x:xf numFmtId="201" fontId="0" fillId="5" borderId="0" xfId="0" applyNumberFormat="1" applyFont="1" applyFill="1" applyBorder="1"/>
    <x:xf numFmtId="201" fontId="2" fillId="5" borderId="0" xfId="0" applyNumberFormat="1" applyFont="1" applyFill="1" applyBorder="1"/>
    <x:xf numFmtId="0" fontId="2" fillId="5" borderId="1" xfId="0" applyNumberFormat="1" applyFont="1" applyFill="1" applyBorder="1"/>
    <x:xf numFmtId="201" fontId="0" fillId="5" borderId="1" xfId="0" applyNumberFormat="1" applyFont="1" applyFill="1" applyBorder="1"/>
    <x:xf numFmtId="201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201" fontId="2" fillId="8" borderId="0" xfId="0" applyNumberFormat="1" applyFont="1" applyFill="1" applyBorder="1"/>
    <x:xf numFmtId="201" fontId="1" fillId="7" borderId="0" xfId="0" applyNumberFormat="1" applyFont="1" applyFill="1" applyBorder="1"/>
    <x:xf numFmtId="201" fontId="2" fillId="8" borderId="1" xfId="0" applyNumberFormat="1" applyFont="1" applyFill="1" applyBorder="1"/>
    <x:xf numFmtId="201" fontId="1" fillId="7" borderId="1" xfId="0" applyNumberFormat="1" applyFont="1" applyFill="1" applyBorder="1"/>
    <x:xf numFmtId="202" fontId="0" fillId="3" borderId="0" xfId="0" applyNumberFormat="1" applyFont="1" applyFill="1" applyBorder="1"/>
    <x:xf numFmtId="202" fontId="2" fillId="8" borderId="0" xfId="0" applyNumberFormat="1" applyFont="1" applyFill="1" applyBorder="1"/>
    <x:xf numFmtId="202" fontId="1" fillId="7" borderId="0" xfId="0" applyNumberFormat="1" applyFont="1" applyFill="1" applyBorder="1"/>
    <x:xf numFmtId="202" fontId="0" fillId="3" borderId="1" xfId="0" applyNumberFormat="1" applyFont="1" applyFill="1" applyBorder="1"/>
    <x:xf numFmtId="202" fontId="2" fillId="8" borderId="1" xfId="0" applyNumberFormat="1" applyFont="1" applyFill="1" applyBorder="1"/>
    <x:xf numFmtId="202" fontId="1" fillId="7" borderId="1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201" fontId="0" fillId="3" borderId="14" xfId="0" applyNumberFormat="1" applyFont="1" applyFill="1" applyBorder="1"/>
    <x:xf numFmtId="201" fontId="0" fillId="3" borderId="15" xfId="0" applyNumberFormat="1" applyFont="1" applyFill="1" applyBorder="1"/>
    <x:xf numFmtId="201" fontId="0" fillId="3" borderId="16" xfId="0" applyNumberFormat="1" applyFont="1" applyFill="1" applyBorder="1"/>
    <x:xf numFmtId="201" fontId="0" fillId="3" borderId="17" xfId="0" applyNumberFormat="1" applyFont="1" applyFill="1" applyBorder="1"/>
    <x:xf numFmtId="0" fontId="2" fillId="9" borderId="15" xfId="0" applyNumberFormat="1" applyFont="1" applyFill="1" applyBorder="1"/>
    <x:xf numFmtId="201" fontId="0" fillId="9" borderId="15" xfId="0" applyNumberFormat="1" applyFont="1" applyFill="1" applyBorder="1"/>
    <x:xf numFmtId="0" fontId="7" fillId="9" borderId="15" xfId="0" applyNumberFormat="1" applyFont="1" applyFill="1" applyBorder="1"/>
    <x:xf numFmtId="201" fontId="7" fillId="9" borderId="15" xfId="0" applyNumberFormat="1" applyFont="1" applyFill="1" applyBorder="1"/>
    <x:xf numFmtId="0" fontId="2" fillId="9" borderId="17" xfId="0" applyNumberFormat="1" applyFont="1" applyFill="1" applyBorder="1"/>
    <x:xf numFmtId="201" fontId="0" fillId="9" borderId="17" xfId="0" applyNumberFormat="1" applyFont="1" applyFill="1" applyBorder="1"/>
    <x:xf numFmtId="0" fontId="7" fillId="9" borderId="17" xfId="0" applyNumberFormat="1" applyFont="1" applyFill="1" applyBorder="1"/>
    <x:xf numFmtId="201" fontId="7" fillId="9" borderId="17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201" fontId="7" fillId="8" borderId="0" xfId="0" applyNumberFormat="1" applyFont="1" applyFill="1" applyBorder="1"/>
    <x:xf numFmtId="201" fontId="7" fillId="8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1" fontId="0" fillId="8" borderId="0" xfId="0" applyNumberFormat="1" applyFont="1" applyFill="1" applyBorder="1"/>
    <x:xf numFmtId="201" fontId="0" fillId="8" borderId="1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2" fillId="6" borderId="6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1" fillId="7" borderId="6" xfId="0" applyNumberFormat="1" applyFont="1" applyFill="1" applyBorder="1"/>
    <x:xf numFmtId="0" fontId="2" fillId="3" borderId="6" xfId="0" applyNumberFormat="1" applyFont="1" applyFill="1" applyBorder="1"/>
    <x:xf numFmtId="201" fontId="0" fillId="3" borderId="6" xfId="0" applyNumberFormat="1" applyFont="1" applyFill="1" applyBorder="1"/>
    <x:xf numFmtId="202" fontId="0" fillId="3" borderId="6" xfId="0" applyNumberFormat="1" applyFont="1" applyFill="1" applyBorder="1"/>
    <x:xf numFmtId="0" fontId="2" fillId="8" borderId="6" xfId="0" applyNumberFormat="1" applyFont="1" applyFill="1" applyBorder="1"/>
    <x:xf numFmtId="201" fontId="2" fillId="8" borderId="6" xfId="0" applyNumberFormat="1" applyFont="1" applyFill="1" applyBorder="1"/>
    <x:xf numFmtId="202" fontId="2" fillId="8" borderId="6" xfId="0" applyNumberFormat="1" applyFont="1" applyFill="1" applyBorder="1"/>
    <x:xf numFmtId="201" fontId="1" fillId="7" borderId="6" xfId="0" applyNumberFormat="1" applyFont="1" applyFill="1" applyBorder="1"/>
    <x:xf numFmtId="202" fontId="1" fillId="7" borderId="6" xfId="0" applyNumberFormat="1" applyFont="1" applyFill="1" applyBorder="1"/>
    <x:xf numFmtId="0" fontId="7" fillId="8" borderId="6" xfId="0" applyNumberFormat="1" applyFont="1" applyFill="1" applyBorder="1"/>
    <x:xf numFmtId="201" fontId="7" fillId="8" borderId="6" xfId="0" applyNumberFormat="1" applyFont="1" applyFill="1" applyBorder="1"/>
    <x:xf numFmtId="0" fontId="8" fillId="2" borderId="6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7" fillId="9" borderId="6" xfId="0" applyNumberFormat="1" applyFont="1" applyFill="1" applyBorder="1"/>
    <x:xf numFmtId="201" fontId="7" fillId="9" borderId="6" xfId="0" applyNumberFormat="1" applyFont="1" applyFill="1" applyBorder="1"/>
    <x:xf numFmtId="0" fontId="6" fillId="2" borderId="5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/>
    <x:xf numFmtId="0" fontId="2" fillId="5" borderId="6" xfId="0" applyNumberFormat="1" applyFont="1" applyFill="1" applyBorder="1"/>
    <x:xf numFmtId="201" fontId="2" fillId="5" borderId="6" xfId="0" applyNumberFormat="1" applyFont="1" applyFill="1" applyBorder="1"/>
    <x:xf numFmtId="0" fontId="9" fillId="10" borderId="6" xfId="0" applyNumberFormat="1" applyFont="1" applyFill="1" applyBorder="1" applyAlignment="1">
      <x:alignment horizontal="center" vertical="center" wrapText="1"/>
    </x:xf>
    <x:xf numFmtId="0" fontId="9" fillId="10" borderId="7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/>
    <x:xf numFmtId="0" fontId="2" fillId="10" borderId="6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/>
    <x:xf numFmtId="0" fontId="2" fillId="10" borderId="5" xfId="0" applyNumberFormat="1" applyFont="1" applyFill="1" applyBorder="1" applyAlignment="1">
      <x:alignment horizontal="center" vertical="center" wrapText="1"/>
    </x:xf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10" fillId="2" borderId="19" xfId="0" applyNumberFormat="1" applyFont="1" applyFill="1" applyBorder="1" applyAlignment="1">
      <x:alignment horizontal="center"/>
    </x:xf>
    <x:xf numFmtId="0" fontId="10" fillId="2" borderId="20" xfId="0" applyNumberFormat="1" applyFont="1" applyFill="1" applyBorder="1" applyAlignment="1">
      <x:alignment horizont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4" fillId="2" borderId="10" xfId="0" applyNumberFormat="1" applyFont="1" applyFill="1" applyBorder="1" applyAlignment="1">
      <x:alignment horizontal="center" vertical="center"/>
    </x:xf>
    <x:xf numFmtId="0" fontId="4" fillId="2" borderId="11" xfId="0" applyNumberFormat="1" applyFont="1" applyFill="1" applyBorder="1" applyAlignment="1">
      <x:alignment horizontal="center" vertical="center"/>
    </x:xf>
    <x:xf numFmtId="0" fontId="4" fillId="2" borderId="12" xfId="0" applyNumberFormat="1" applyFont="1" applyFill="1" applyBorder="1" applyAlignment="1">
      <x:alignment horizontal="center" vertical="center"/>
    </x:xf>
    <x:xf numFmtId="0" fontId="4" fillId="2" borderId="13" xfId="0" applyNumberFormat="1" applyFont="1" applyFill="1" applyBorder="1" applyAlignment="1">
      <x:alignment horizontal="center" vertical="center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/>
    </x:xf>
    <x:xf numFmtId="0" fontId="6" fillId="2" borderId="13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1" fillId="7" borderId="12" xfId="0" applyNumberFormat="1" applyFont="1" applyFill="1" applyBorder="1"/>
    <x:xf numFmtId="0" fontId="2" fillId="3" borderId="12" xfId="0" applyNumberFormat="1" applyFont="1" applyFill="1" applyBorder="1"/>
    <x:xf numFmtId="201" fontId="0" fillId="3" borderId="12" xfId="0" applyNumberFormat="1" applyFont="1" applyFill="1" applyBorder="1"/>
    <x:xf numFmtId="202" fontId="0" fillId="3" borderId="12" xfId="0" applyNumberFormat="1" applyFont="1" applyFill="1" applyBorder="1"/>
    <x:xf numFmtId="0" fontId="2" fillId="8" borderId="12" xfId="0" applyNumberFormat="1" applyFont="1" applyFill="1" applyBorder="1"/>
    <x:xf numFmtId="201" fontId="2" fillId="8" borderId="12" xfId="0" applyNumberFormat="1" applyFont="1" applyFill="1" applyBorder="1"/>
    <x:xf numFmtId="202" fontId="2" fillId="8" borderId="12" xfId="0" applyNumberFormat="1" applyFont="1" applyFill="1" applyBorder="1"/>
    <x:xf numFmtId="201" fontId="1" fillId="7" borderId="12" xfId="0" applyNumberFormat="1" applyFont="1" applyFill="1" applyBorder="1"/>
    <x:xf numFmtId="202" fontId="1" fillId="7" borderId="12" xfId="0" applyNumberFormat="1" applyFont="1" applyFill="1" applyBorder="1"/>
    <x:xf numFmtId="0" fontId="7" fillId="8" borderId="12" xfId="0" applyNumberFormat="1" applyFont="1" applyFill="1" applyBorder="1"/>
    <x:xf numFmtId="201" fontId="7" fillId="8" borderId="12" xfId="0" applyNumberFormat="1" applyFont="1" applyFill="1" applyBorder="1"/>
    <x:xf numFmtId="0" fontId="8" fillId="2" borderId="12" xfId="0" applyNumberFormat="1" applyFont="1" applyFill="1" applyBorder="1" applyAlignment="1">
      <x:alignment horizontal="center" vertical="center" wrapText="1"/>
    </x:xf>
    <x:xf numFmtId="0" fontId="8" fillId="2" borderId="13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/>
    <x:xf numFmtId="201" fontId="7" fillId="9" borderId="12" xfId="0" applyNumberFormat="1" applyFont="1" applyFill="1" applyBorder="1"/>
    <x:xf numFmtId="0" fontId="6" fillId="2" borderId="11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/>
    <x:xf numFmtId="0" fontId="2" fillId="5" borderId="12" xfId="0" applyNumberFormat="1" applyFont="1" applyFill="1" applyBorder="1"/>
    <x:xf numFmtId="201" fontId="2" fillId="5" borderId="12" xfId="0" applyNumberFormat="1" applyFont="1" applyFill="1" applyBorder="1"/>
    <x:xf numFmtId="0" fontId="9" fillId="10" borderId="12" xfId="0" applyNumberFormat="1" applyFont="1" applyFill="1" applyBorder="1" applyAlignment="1">
      <x:alignment horizontal="center" vertical="center" wrapText="1"/>
    </x:xf>
    <x:xf numFmtId="0" fontId="9" fillId="10" borderId="13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/>
    <x:xf numFmtId="0" fontId="2" fillId="10" borderId="12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horizontal="center" vertical="center" wrapText="1"/>
    </x:xf>
    <x:xf numFmtId="0" fontId="2" fillId="8" borderId="11" xfId="0" applyNumberFormat="1" applyFont="1" applyFill="1" applyBorder="1"/>
    <x:xf numFmtId="0" fontId="2" fillId="10" borderId="11" xfId="0" applyNumberFormat="1" applyFont="1" applyFill="1" applyBorder="1" applyAlignment="1">
      <x:alignment horizontal="center" vertical="center" wrapText="1"/>
    </x:xf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10" fillId="2" borderId="22" xfId="0" applyNumberFormat="1" applyFont="1" applyFill="1" applyBorder="1" applyAlignment="1">
      <x:alignment horizontal="center"/>
    </x:xf>
    <x:xf numFmtId="0" fontId="10" fillId="2" borderId="2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201" fontId="0" fillId="3" borderId="6" xfId="0" applyNumberFormat="1" applyFont="1" applyFill="1" applyBorder="1" applyAlignment="1">
      <x:alignment wrapText="1"/>
    </x:xf>
    <x:xf numFmtId="202" fontId="0" fillId="3" borderId="6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201" fontId="2" fillId="8" borderId="6" xfId="0" applyNumberFormat="1" applyFont="1" applyFill="1" applyBorder="1" applyAlignment="1">
      <x:alignment wrapText="1"/>
    </x:xf>
    <x:xf numFmtId="202" fontId="2" fillId="8" borderId="6" xfId="0" applyNumberFormat="1" applyFont="1" applyFill="1" applyBorder="1" applyAlignment="1">
      <x:alignment wrapText="1"/>
    </x:xf>
    <x:xf numFmtId="201" fontId="1" fillId="7" borderId="6" xfId="0" applyNumberFormat="1" applyFont="1" applyFill="1" applyBorder="1" applyAlignment="1">
      <x:alignment wrapText="1"/>
    </x:xf>
    <x:xf numFmtId="202" fontId="1" fillId="7" borderId="6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201" fontId="7" fillId="8" borderId="6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201" fontId="7" fillId="9" borderId="6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201" fontId="2" fillId="5" borderId="6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10" fillId="2" borderId="19" xfId="0" applyNumberFormat="1" applyFont="1" applyFill="1" applyBorder="1" applyAlignment="1">
      <x:alignment horizontal="center" wrapText="1"/>
    </x:xf>
    <x:xf numFmtId="0" fontId="10" fillId="2" borderId="20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horizontal="center"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1" fillId="7" borderId="12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201" fontId="0" fillId="3" borderId="12" xfId="0" applyNumberFormat="1" applyFont="1" applyFill="1" applyBorder="1" applyAlignment="1">
      <x:alignment wrapText="1"/>
    </x:xf>
    <x:xf numFmtId="202" fontId="0" fillId="3" borderId="12" xfId="0" applyNumberFormat="1" applyFont="1" applyFill="1" applyBorder="1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201" fontId="2" fillId="8" borderId="12" xfId="0" applyNumberFormat="1" applyFont="1" applyFill="1" applyBorder="1" applyAlignment="1">
      <x:alignment wrapText="1"/>
    </x:xf>
    <x:xf numFmtId="202" fontId="2" fillId="8" borderId="12" xfId="0" applyNumberFormat="1" applyFont="1" applyFill="1" applyBorder="1" applyAlignment="1">
      <x:alignment wrapText="1"/>
    </x:xf>
    <x:xf numFmtId="201" fontId="1" fillId="7" borderId="12" xfId="0" applyNumberFormat="1" applyFont="1" applyFill="1" applyBorder="1" applyAlignment="1">
      <x:alignment wrapText="1"/>
    </x:xf>
    <x:xf numFmtId="202" fontId="1" fillId="7" borderId="12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201" fontId="7" fillId="8" borderId="12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201" fontId="7" fillId="9" borderId="12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201" fontId="2" fillId="5" borderId="12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8" borderId="11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10" fillId="2" borderId="22" xfId="0" applyNumberFormat="1" applyFont="1" applyFill="1" applyBorder="1" applyAlignment="1">
      <x:alignment horizontal="center" wrapText="1"/>
    </x:xf>
    <x:xf numFmtId="0" fontId="10" fillId="2" borderId="23" xfId="0" applyNumberFormat="1" applyFont="1" applyFill="1" applyBorder="1" applyAlignment="1">
      <x:alignment horizontal="center" wrapText="1"/>
    </x:xf>
    <x:xf numFmtId="201" fontId="6" fillId="2" borderId="6" xfId="0" applyNumberFormat="1" applyFont="1" applyFill="1" applyBorder="1" applyAlignment="1">
      <x:alignment horizontal="center" vertical="center" wrapText="1"/>
    </x:xf>
    <x:xf numFmtId="201" fontId="6" fillId="2" borderId="12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201" fontId="6" fillId="8" borderId="6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201" fontId="6" fillId="8" borderId="12" xfId="0" applyNumberFormat="1" applyFont="1" applyFill="1" applyBorder="1" applyAlignment="1">
      <x:alignment horizontal="center" vertical="center" wrapText="1"/>
    </x:xf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1" xfId="0" applyNumberFormat="1" applyFont="1" applyFill="1" applyBorder="1"/>
    <x:xf numFmtId="200" fontId="11" fillId="0" borderId="1" xfId="0" applyNumberFormat="1" applyFont="1" applyFill="1" applyBorder="1"/>
    <x:xf numFmtId="0" fontId="0" fillId="2" borderId="5" xfId="0" applyNumberFormat="1" applyFont="1" applyFill="1" applyBorder="1" applyAlignment="1">
      <x:alignment wrapText="1"/>
    </x:xf>
    <x:xf numFmtId="0" fontId="0" fillId="2" borderId="6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wrapText="1"/>
    </x:xf>
    <x:xf numFmtId="0" fontId="6" fillId="2" borderId="12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horizontal="center" wrapText="1"/>
    </x:xf>
    <x:xf numFmtId="0" fontId="6" fillId="2" borderId="12" xfId="0" applyNumberFormat="1" applyFont="1" applyFill="1" applyBorder="1" applyAlignment="1">
      <x:alignment horizontal="center"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12" fillId="10" borderId="5" xfId="0" applyNumberFormat="1" applyFont="1" applyFill="1" applyBorder="1" applyAlignment="1">
      <x:alignment wrapText="1"/>
    </x:xf>
    <x:xf numFmtId="0" fontId="12" fillId="10" borderId="6" xfId="0" applyNumberFormat="1" applyFont="1" applyFill="1" applyBorder="1" applyAlignment="1">
      <x:alignment wrapText="1"/>
    </x:xf>
    <x:xf numFmtId="0" fontId="12" fillId="10" borderId="5" xfId="0" applyNumberFormat="1" applyFont="1" applyFill="1" applyBorder="1" applyAlignment="1">
      <x:alignment vertical="top" wrapText="1"/>
    </x:xf>
    <x:xf numFmtId="0" fontId="12" fillId="1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36ef223c14c63" /><Relationship Type="http://schemas.openxmlformats.org/officeDocument/2006/relationships/theme" Target="/xl/theme/theme1.xml" Id="R816188cc81ec4814" /><Relationship Type="http://schemas.openxmlformats.org/officeDocument/2006/relationships/sharedStrings" Target="/xl/sharedStrings.xml" Id="R53580a9069ef476a" /><Relationship Type="http://schemas.openxmlformats.org/officeDocument/2006/relationships/worksheet" Target="/xl/worksheets/sheet1.xml" Id="R1bbaf81bcfcb4874" /><Relationship Type="http://schemas.openxmlformats.org/officeDocument/2006/relationships/worksheet" Target="/xl/worksheets/sheet2.xml" Id="R321723a84ebf41a9" /><Relationship Type="http://schemas.openxmlformats.org/officeDocument/2006/relationships/worksheet" Target="/xl/worksheets/sheet3.xml" Id="R4ea8a7951a9843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 ht="302.3999938964844" hidden="0" customHeight="1">
      <x:c r="A1" s="234" t="str">
        <x:v>LAMBORGHINI WILD COAST SUMBA RETREAT  |  DEVELOPMENT FINANCIAL PLAN – PHASE I  |  10 SIGNATURE VILLAS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  <x:c r="R1" s="235"/>
      <x:c r="S1" s="235"/>
      <x:c r="T1" s="235"/>
      <x:c r="U1" s="235"/>
      <x:c r="V1" s="235"/>
      <x:c r="W1" s="235"/>
      <x:c r="X1" s="235"/>
      <x:c r="Y1" s="235"/>
      <x:c r="Z1" s="236"/>
    </x:row>
    <x:row r="2" ht="21.600000381469727" hidden="0" customHeight="1">
      <x:c r="A2" s="237"/>
      <x:c r="B2" s="238"/>
      <x:c r="C2" s="238"/>
      <x:c r="D2" s="238"/>
      <x:c r="E2" s="238"/>
      <x:c r="F2" s="238"/>
      <x:c r="G2" s="238"/>
      <x:c r="H2" s="238"/>
      <x:c r="I2" s="238"/>
      <x:c r="J2" s="238"/>
      <x:c r="K2" s="238"/>
      <x:c r="L2" s="238"/>
      <x:c r="M2" s="238"/>
      <x:c r="N2" s="238"/>
      <x:c r="O2" s="238"/>
      <x:c r="P2" s="238"/>
      <x:c r="Q2" s="238"/>
      <x:c r="R2" s="238"/>
      <x:c r="S2" s="238"/>
      <x:c r="T2" s="238"/>
      <x:c r="U2" s="238"/>
      <x:c r="V2" s="238"/>
      <x:c r="W2" s="238"/>
      <x:c r="X2" s="238"/>
      <x:c r="Y2" s="238"/>
      <x:c r="Z2" s="239"/>
    </x:row>
    <x:row r="3" ht="21.600000381469727" hidden="0" customHeight="1">
      <x:c r="A3" s="237"/>
      <x:c r="B3" s="238"/>
      <x:c r="C3" s="238"/>
      <x:c r="D3" s="238"/>
      <x:c r="E3" s="238"/>
      <x:c r="F3" s="238"/>
      <x:c r="G3" s="238"/>
      <x:c r="H3" s="238"/>
      <x:c r="I3" s="238"/>
      <x:c r="J3" s="238"/>
      <x:c r="K3" s="238"/>
      <x:c r="L3" s="238"/>
      <x:c r="M3" s="238"/>
      <x:c r="N3" s="238"/>
      <x:c r="O3" s="238"/>
      <x:c r="P3" s="238"/>
      <x:c r="Q3" s="238"/>
      <x:c r="R3" s="238"/>
      <x:c r="S3" s="238"/>
      <x:c r="T3" s="238"/>
      <x:c r="U3" s="238"/>
      <x:c r="V3" s="238"/>
      <x:c r="W3" s="238"/>
      <x:c r="X3" s="238"/>
      <x:c r="Y3" s="238"/>
      <x:c r="Z3" s="239"/>
    </x:row>
    <x:row r="4" ht="184.8000030517578" hidden="0" customHeight="1">
      <x:c r="A4" s="154" t="str">
        <x:v>HERO VISUAL AREA
Exclusive branded luxury villas
Iconic design · Italian heritage · Sumba soul · Lamborghini luxury</x:v>
      </x:c>
      <x:c r="B4" s="155"/>
      <x:c r="C4" s="155"/>
      <x:c r="D4" s="155"/>
      <x:c r="E4" s="155"/>
      <x:c r="F4" s="155"/>
      <x:c r="G4" s="155"/>
      <x:c r="H4" s="155"/>
      <x:c r="I4" s="240" t="str">
        <x:v>ESTADO DE RESULTADOS – PHASE I (10 VILLAS)</x:v>
      </x:c>
      <x:c r="J4" s="240"/>
      <x:c r="K4" s="240"/>
      <x:c r="L4" s="240"/>
      <x:c r="M4" s="240"/>
      <x:c r="N4" s="240"/>
      <x:c r="O4" s="240"/>
      <x:c r="P4" s="240"/>
      <x:c r="Q4" s="240" t="str">
        <x:v>WATERFALL – CREACIÓN DE VALOR</x:v>
      </x:c>
      <x:c r="R4" s="240"/>
      <x:c r="S4" s="240"/>
      <x:c r="T4" s="240"/>
      <x:c r="U4" s="240"/>
      <x:c r="V4" s="240"/>
      <x:c r="W4" s="240"/>
      <x:c r="X4" s="240"/>
      <x:c r="Y4" s="240"/>
      <x:c r="Z4" s="241"/>
    </x:row>
    <x:row r="5" ht="16.799999237060547" hidden="0" customHeight="1">
      <x:c r="A5" s="154"/>
      <x:c r="B5" s="155"/>
      <x:c r="C5" s="155"/>
      <x:c r="D5" s="155"/>
      <x:c r="E5" s="155"/>
      <x:c r="F5" s="155"/>
      <x:c r="G5" s="155"/>
      <x:c r="H5" s="155"/>
      <x:c r="I5" s="242" t="str">
        <x:v>CONCEPTO</x:v>
      </x:c>
      <x:c r="J5" s="242" t="str">
        <x:v>CÁLCULO</x:v>
      </x:c>
      <x:c r="K5" s="242" t="str">
        <x:v>IMPORTE (€)</x:v>
      </x:c>
      <x:c r="L5" s="242" t="str">
        <x:v>% SOBRE VENTAS</x:v>
      </x:c>
      <x:c r="M5" s="243"/>
      <x:c r="N5" s="243"/>
      <x:c r="O5" s="243"/>
      <x:c r="P5" s="243"/>
      <x:c r="Q5" s="243"/>
      <x:c r="R5" s="243"/>
      <x:c r="S5" s="243"/>
      <x:c r="T5" s="243"/>
      <x:c r="U5" s="243"/>
      <x:c r="V5" s="243"/>
      <x:c r="W5" s="243"/>
      <x:c r="X5" s="243"/>
      <x:c r="Y5" s="243"/>
      <x:c r="Z5" s="244"/>
    </x:row>
    <x:row r="6" ht="72" hidden="0" customHeight="1">
      <x:c r="A6" s="154"/>
      <x:c r="B6" s="155"/>
      <x:c r="C6" s="155"/>
      <x:c r="D6" s="155"/>
      <x:c r="E6" s="155"/>
      <x:c r="F6" s="155"/>
      <x:c r="G6" s="155"/>
      <x:c r="H6" s="155"/>
      <x:c r="I6" s="245" t="str">
        <x:v>1. INGRESOS</x:v>
      </x:c>
      <x:c r="J6" s="245" t="str"/>
      <x:c r="K6" s="245" t="str"/>
      <x:c r="L6" s="245" t="str"/>
      <x:c r="M6" s="243"/>
      <x:c r="N6" s="243"/>
      <x:c r="O6" s="243"/>
      <x:c r="P6" s="243"/>
      <x:c r="Q6" s="246" t="str">
        <x:v>VENTAS BRUTAS</x:v>
      </x:c>
      <x:c r="R6" s="247" t="n">
        <x:f>Calculations!B2</x:f>
        <x:v>10000000</x:v>
      </x:c>
      <x:c r="S6" s="240" t="str">
        <x:v>REPARTO DEL BENEFICIO SOBRE MARGEN OPERATIVO</x:v>
      </x:c>
      <x:c r="T6" s="240"/>
      <x:c r="U6" s="240"/>
      <x:c r="V6" s="240"/>
      <x:c r="W6" s="240"/>
      <x:c r="X6" s="240"/>
      <x:c r="Y6" s="240"/>
      <x:c r="Z6" s="241"/>
    </x:row>
    <x:row r="7" ht="26.399999618530273" hidden="0" customHeight="1">
      <x:c r="A7" s="154"/>
      <x:c r="B7" s="155"/>
      <x:c r="C7" s="155"/>
      <x:c r="D7" s="155"/>
      <x:c r="E7" s="155"/>
      <x:c r="F7" s="155"/>
      <x:c r="G7" s="155"/>
      <x:c r="H7" s="155"/>
      <x:c r="I7" s="243" t="str">
        <x:v>Ventas de 10 villas</x:v>
      </x:c>
      <x:c r="J7" s="243" t="str">
        <x:v>10 villas x 1.000.000 €</x:v>
      </x:c>
      <x:c r="K7" s="247" t="n">
        <x:f>Calculations!B2</x:f>
        <x:v>10000000</x:v>
      </x:c>
      <x:c r="L7" s="248" t="n">
        <x:f>K7/Calculations!B2</x:f>
        <x:v>1</x:v>
      </x:c>
      <x:c r="M7" s="243"/>
      <x:c r="N7" s="243"/>
      <x:c r="O7" s="243"/>
      <x:c r="P7" s="243"/>
      <x:c r="Q7" s="246" t="str">
        <x:v>Costes Directos</x:v>
      </x:c>
      <x:c r="R7" s="247" t="n">
        <x:f>-Calculations!B7</x:f>
        <x:v>-5600000</x:v>
      </x:c>
      <x:c r="S7" s="243" t="str">
        <x:v>Tonino Lamborghini</x:v>
      </x:c>
      <x:c r="T7" s="243" t="str">
        <x:v>3% del beneficio</x:v>
      </x:c>
      <x:c r="U7" s="247" t="n">
        <x:f>Calculations!B20</x:f>
        <x:v>96300</x:v>
      </x:c>
      <x:c r="V7" s="243"/>
      <x:c r="W7" s="243"/>
      <x:c r="X7" s="243"/>
      <x:c r="Y7" s="243"/>
      <x:c r="Z7" s="244"/>
    </x:row>
    <x:row r="8" ht="26.399999618530273" hidden="0" customHeight="1">
      <x:c r="A8" s="154"/>
      <x:c r="B8" s="155"/>
      <x:c r="C8" s="155"/>
      <x:c r="D8" s="155"/>
      <x:c r="E8" s="155"/>
      <x:c r="F8" s="155"/>
      <x:c r="G8" s="155"/>
      <x:c r="H8" s="155"/>
      <x:c r="I8" s="249" t="str">
        <x:v>TOTAL INGRESOS</x:v>
      </x:c>
      <x:c r="J8" s="249" t="str"/>
      <x:c r="K8" s="250" t="n">
        <x:f>K7</x:f>
        <x:v>10000000</x:v>
      </x:c>
      <x:c r="L8" s="251" t="n">
        <x:f>L7</x:f>
        <x:v>1</x:v>
      </x:c>
      <x:c r="M8" s="243"/>
      <x:c r="N8" s="243"/>
      <x:c r="O8" s="243"/>
      <x:c r="P8" s="243"/>
      <x:c r="Q8" s="246" t="str">
        <x:v>Honorarios &amp; Profesionales</x:v>
      </x:c>
      <x:c r="R8" s="247" t="n">
        <x:f>-Calculations!B11</x:f>
        <x:v>-440000</x:v>
      </x:c>
      <x:c r="S8" s="243" t="str">
        <x:v>Introducción Marca</x:v>
      </x:c>
      <x:c r="T8" s="243" t="str">
        <x:v>1% del beneficio</x:v>
      </x:c>
      <x:c r="U8" s="247" t="n">
        <x:f>Calculations!B21</x:f>
        <x:v>32100</x:v>
      </x:c>
      <x:c r="V8" s="243"/>
      <x:c r="W8" s="243"/>
      <x:c r="X8" s="243"/>
      <x:c r="Y8" s="243"/>
      <x:c r="Z8" s="244"/>
    </x:row>
    <x:row r="9" ht="52.79999923706055" hidden="0" customHeight="1">
      <x:c r="A9" s="154"/>
      <x:c r="B9" s="155"/>
      <x:c r="C9" s="155"/>
      <x:c r="D9" s="155"/>
      <x:c r="E9" s="155"/>
      <x:c r="F9" s="155"/>
      <x:c r="G9" s="155"/>
      <x:c r="H9" s="155"/>
      <x:c r="I9" s="245" t="str">
        <x:v>2. COSTES DIRECTOS</x:v>
      </x:c>
      <x:c r="J9" s="245" t="str"/>
      <x:c r="K9" s="252" t="str"/>
      <x:c r="L9" s="253" t="str"/>
      <x:c r="M9" s="243"/>
      <x:c r="N9" s="243"/>
      <x:c r="O9" s="243"/>
      <x:c r="P9" s="243"/>
      <x:c r="Q9" s="246" t="str">
        <x:v>Gastos Comerciales &amp; Admin.</x:v>
      </x:c>
      <x:c r="R9" s="247" t="n">
        <x:f>-Calculations!B17</x:f>
        <x:v>-750000</x:v>
      </x:c>
      <x:c r="S9" s="254" t="str">
        <x:v>BENEFICIO NETO PARA LAWANG (FRAN &amp; PABLO)</x:v>
      </x:c>
      <x:c r="T9" s="254" t="str">
        <x:v>Residual</x:v>
      </x:c>
      <x:c r="U9" s="255" t="n">
        <x:f>Calculations!B22</x:f>
        <x:v>3081600</x:v>
      </x:c>
      <x:c r="V9" s="243"/>
      <x:c r="W9" s="243"/>
      <x:c r="X9" s="243"/>
      <x:c r="Y9" s="243"/>
      <x:c r="Z9" s="244"/>
    </x:row>
    <x:row r="10" ht="26.399999618530273" hidden="0" customHeight="1">
      <x:c r="A10" s="154"/>
      <x:c r="B10" s="155"/>
      <x:c r="C10" s="155"/>
      <x:c r="D10" s="155"/>
      <x:c r="E10" s="155"/>
      <x:c r="F10" s="155"/>
      <x:c r="G10" s="155"/>
      <x:c r="H10" s="155"/>
      <x:c r="I10" s="243" t="str">
        <x:v>Construcción</x:v>
      </x:c>
      <x:c r="J10" s="243" t="str">
        <x:v>10 villas x 300.000 €</x:v>
      </x:c>
      <x:c r="K10" s="247" t="n">
        <x:f>-Calculations!B3</x:f>
        <x:v>-3000000</x:v>
      </x:c>
      <x:c r="L10" s="248" t="n">
        <x:f>K10/Calculations!B2</x:f>
        <x:v>-0.3</x:v>
      </x:c>
      <x:c r="M10" s="243"/>
      <x:c r="N10" s="243"/>
      <x:c r="O10" s="243"/>
      <x:c r="P10" s="243"/>
      <x:c r="Q10" s="246" t="str">
        <x:v>MARGEN OPERATIVO</x:v>
      </x:c>
      <x:c r="R10" s="247" t="n">
        <x:f>Calculations!B19</x:f>
        <x:v>3210000</x:v>
      </x:c>
      <x:c r="S10" s="243"/>
      <x:c r="T10" s="243"/>
      <x:c r="U10" s="243"/>
      <x:c r="V10" s="243"/>
      <x:c r="W10" s="243"/>
      <x:c r="X10" s="243"/>
      <x:c r="Y10" s="243"/>
      <x:c r="Z10" s="244"/>
    </x:row>
    <x:row r="11" ht="43.20000076293945" hidden="0" customHeight="1">
      <x:c r="A11" s="154"/>
      <x:c r="B11" s="155"/>
      <x:c r="C11" s="155"/>
      <x:c r="D11" s="155"/>
      <x:c r="E11" s="155"/>
      <x:c r="F11" s="155"/>
      <x:c r="G11" s="155"/>
      <x:c r="H11" s="155"/>
      <x:c r="I11" s="243" t="str">
        <x:v>Suelo (coste adquisición)</x:v>
      </x:c>
      <x:c r="J11" s="243" t="str">
        <x:v>TBD / input editable</x:v>
      </x:c>
      <x:c r="K11" s="247" t="n">
        <x:f>-Calculations!B4</x:f>
        <x:v>-2000000</x:v>
      </x:c>
      <x:c r="L11" s="248" t="n">
        <x:f>K11/Calculations!B2</x:f>
        <x:v>-0.2</x:v>
      </x:c>
      <x:c r="M11" s="243"/>
      <x:c r="N11" s="243"/>
      <x:c r="O11" s="243"/>
      <x:c r="P11" s="243"/>
      <x:c r="Q11" s="246" t="str">
        <x:v>Tonino Lamborghini (3%)</x:v>
      </x:c>
      <x:c r="R11" s="247" t="n">
        <x:f>-Calculations!B20</x:f>
        <x:v>-96300</x:v>
      </x:c>
      <x:c r="S11" s="240" t="str">
        <x:v>RESULTADO FINAL – PHASE I</x:v>
      </x:c>
      <x:c r="T11" s="240"/>
      <x:c r="U11" s="240"/>
      <x:c r="V11" s="240"/>
      <x:c r="W11" s="240"/>
      <x:c r="X11" s="240"/>
      <x:c r="Y11" s="240"/>
      <x:c r="Z11" s="241"/>
    </x:row>
    <x:row r="12" ht="237.60000610351562" hidden="0" customHeight="1">
      <x:c r="A12" s="154"/>
      <x:c r="B12" s="155"/>
      <x:c r="C12" s="155"/>
      <x:c r="D12" s="155"/>
      <x:c r="E12" s="155"/>
      <x:c r="F12" s="155"/>
      <x:c r="G12" s="155"/>
      <x:c r="H12" s="155"/>
      <x:c r="I12" s="243" t="str">
        <x:v>Urbanización &amp; Infraestructura</x:v>
      </x:c>
      <x:c r="J12" s="243" t="str">
        <x:v>Input editable</x:v>
      </x:c>
      <x:c r="K12" s="247" t="n">
        <x:f>-Calculations!B5</x:f>
        <x:v>-500000</x:v>
      </x:c>
      <x:c r="L12" s="248" t="n">
        <x:f>K12/Calculations!B2</x:f>
        <x:v>-0.05</x:v>
      </x:c>
      <x:c r="M12" s="243"/>
      <x:c r="N12" s="243"/>
      <x:c r="O12" s="243"/>
      <x:c r="P12" s="243"/>
      <x:c r="Q12" s="246" t="str">
        <x:v>Introducción Marca (1%)</x:v>
      </x:c>
      <x:c r="R12" s="247" t="n">
        <x:f>-Calculations!B21</x:f>
        <x:v>-32100</x:v>
      </x:c>
      <x:c r="S12" s="172" t="str">
        <x:f>"BENEFICIO NETO PARA LAWANG (FRAN &amp; PABLO)"&amp;CHAR(10)&amp;TEXT(Calculations!B22,"€#,##0")&amp;CHAR(10)&amp;TEXT(Calculations!B23,"0.0%")&amp;" SOBRE VENTAS"</x:f>
        <x:v>BENEFICIO NETO PARA LAWANG (FRAN &amp; PABLO)
€3,081,600
30.8% SOBRE VENTAS</x:v>
      </x:c>
      <x:c r="T12" s="172"/>
      <x:c r="U12" s="172"/>
      <x:c r="V12" s="172"/>
      <x:c r="W12" s="172"/>
      <x:c r="X12" s="172"/>
      <x:c r="Y12" s="172"/>
      <x:c r="Z12" s="173"/>
    </x:row>
    <x:row r="13" ht="26.399999618530273" hidden="0" customHeight="1">
      <x:c r="A13" s="154"/>
      <x:c r="B13" s="155"/>
      <x:c r="C13" s="155"/>
      <x:c r="D13" s="155"/>
      <x:c r="E13" s="155"/>
      <x:c r="F13" s="155"/>
      <x:c r="G13" s="155"/>
      <x:c r="H13" s="155"/>
      <x:c r="I13" s="243" t="str">
        <x:v>Licencias &amp; Permisos</x:v>
      </x:c>
      <x:c r="J13" s="243" t="str">
        <x:v>Input editable</x:v>
      </x:c>
      <x:c r="K13" s="247" t="n">
        <x:f>-Calculations!B6</x:f>
        <x:v>-100000</x:v>
      </x:c>
      <x:c r="L13" s="248" t="n">
        <x:f>K13/Calculations!B2</x:f>
        <x:v>-0.01</x:v>
      </x:c>
      <x:c r="M13" s="243"/>
      <x:c r="N13" s="243"/>
      <x:c r="O13" s="243"/>
      <x:c r="P13" s="243"/>
      <x:c r="Q13" s="256" t="str">
        <x:v>BENEFICIO NETO LAWANG</x:v>
      </x:c>
      <x:c r="R13" s="257" t="n">
        <x:f>Calculations!B22</x:f>
        <x:v>3081600</x:v>
      </x:c>
      <x:c r="S13" s="172"/>
      <x:c r="T13" s="172"/>
      <x:c r="U13" s="172"/>
      <x:c r="V13" s="172"/>
      <x:c r="W13" s="172"/>
      <x:c r="X13" s="172"/>
      <x:c r="Y13" s="172"/>
      <x:c r="Z13" s="173"/>
    </x:row>
    <x:row r="14" ht="43.20000076293945" hidden="0" customHeight="1">
      <x:c r="A14" s="258" t="str">
        <x:v>PROJECT SNAPSHOT – PHASE I</x:v>
      </x:c>
      <x:c r="B14" s="240"/>
      <x:c r="C14" s="240"/>
      <x:c r="D14" s="240"/>
      <x:c r="E14" s="240" t="str">
        <x:v>LAND &amp; SITE OVERVIEW</x:v>
      </x:c>
      <x:c r="F14" s="240"/>
      <x:c r="G14" s="240"/>
      <x:c r="H14" s="240"/>
      <x:c r="I14" s="249" t="str">
        <x:v>TOTAL COSTES DIRECTOS</x:v>
      </x:c>
      <x:c r="J14" s="249" t="str"/>
      <x:c r="K14" s="250" t="n">
        <x:f>SUM(K10:K13)</x:f>
        <x:v>-5600000</x:v>
      </x:c>
      <x:c r="L14" s="251" t="n">
        <x:f>K14/Calculations!B2</x:f>
        <x:v>-0.56</x:v>
      </x:c>
      <x:c r="M14" s="243"/>
      <x:c r="N14" s="243"/>
      <x:c r="O14" s="243"/>
      <x:c r="P14" s="243"/>
      <x:c r="Q14" s="243"/>
      <x:c r="R14" s="243"/>
      <x:c r="S14" s="172"/>
      <x:c r="T14" s="172"/>
      <x:c r="U14" s="172"/>
      <x:c r="V14" s="172"/>
      <x:c r="W14" s="172"/>
      <x:c r="X14" s="172"/>
      <x:c r="Y14" s="172"/>
      <x:c r="Z14" s="173"/>
    </x:row>
    <x:row r="15" ht="26.399999618530273" hidden="0" customHeight="1">
      <x:c r="A15" s="259" t="str">
        <x:v>Nº Villas</x:v>
      </x:c>
      <x:c r="B15" s="243" t="n">
        <x:f>Assumptions!B2</x:f>
        <x:v>10</x:v>
      </x:c>
      <x:c r="C15" s="243"/>
      <x:c r="D15" s="243"/>
      <x:c r="E15" s="246" t="str">
        <x:v>Superficie total del proyecto</x:v>
      </x:c>
      <x:c r="F15" s="243" t="str">
        <x:f>TEXT(Assumptions!B6,"#,##0")&amp;" m² (2 ha)"</x:f>
        <x:v>20,000 m² (2 ha)</x:v>
      </x:c>
      <x:c r="G15" s="243"/>
      <x:c r="H15" s="243"/>
      <x:c r="I15" s="243" t="str">
        <x:v>3. HONORARIOS &amp; PROFESIONALES</x:v>
      </x:c>
      <x:c r="J15" s="243" t="str"/>
      <x:c r="K15" s="247" t="str"/>
      <x:c r="L15" s="248" t="str"/>
      <x:c r="M15" s="243"/>
      <x:c r="N15" s="243"/>
      <x:c r="O15" s="243"/>
      <x:c r="P15" s="243"/>
      <x:c r="Q15" s="243"/>
      <x:c r="R15" s="243"/>
      <x:c r="S15" s="172"/>
      <x:c r="T15" s="172"/>
      <x:c r="U15" s="172"/>
      <x:c r="V15" s="172"/>
      <x:c r="W15" s="172"/>
      <x:c r="X15" s="172"/>
      <x:c r="Y15" s="172"/>
      <x:c r="Z15" s="173"/>
    </x:row>
    <x:row r="16" ht="26.399999618530273" hidden="0" customHeight="1">
      <x:c r="A16" s="259" t="str">
        <x:v>Superficie villa</x:v>
      </x:c>
      <x:c r="B16" s="243" t="str">
        <x:f>TEXT(Assumptions!B4,"#,##0")&amp;" m²"</x:f>
        <x:v>500 m²</x:v>
      </x:c>
      <x:c r="C16" s="243"/>
      <x:c r="D16" s="243"/>
      <x:c r="E16" s="246" t="str">
        <x:v>Precio venta del suelo</x:v>
      </x:c>
      <x:c r="F16" s="243" t="str">
        <x:f>TEXT(Assumptions!B7,"€#,##0")&amp;" /m²"</x:f>
        <x:v>€200 /m²</x:v>
      </x:c>
      <x:c r="G16" s="243"/>
      <x:c r="H16" s="243"/>
      <x:c r="I16" s="245" t="str">
        <x:v>Nick Maltese Studio</x:v>
      </x:c>
      <x:c r="J16" s="245" t="str">
        <x:v>8% sobre construcción</x:v>
      </x:c>
      <x:c r="K16" s="252" t="n">
        <x:f>-Calculations!B8</x:f>
        <x:v>-240000</x:v>
      </x:c>
      <x:c r="L16" s="253" t="n">
        <x:f>K17/Calculations!B2</x:f>
        <x:v>-0.012</x:v>
      </x:c>
      <x:c r="M16" s="243"/>
      <x:c r="N16" s="243"/>
      <x:c r="O16" s="243"/>
      <x:c r="P16" s="243"/>
      <x:c r="Q16" s="243"/>
      <x:c r="R16" s="243"/>
      <x:c r="S16" s="243"/>
      <x:c r="T16" s="243"/>
      <x:c r="U16" s="243"/>
      <x:c r="V16" s="243"/>
      <x:c r="W16" s="243"/>
      <x:c r="X16" s="243"/>
      <x:c r="Y16" s="243"/>
      <x:c r="Z16" s="244"/>
    </x:row>
    <x:row r="17" ht="43.20000076293945" hidden="0" customHeight="1">
      <x:c r="A17" s="259" t="str">
        <x:v>Tipo de villas</x:v>
      </x:c>
      <x:c r="B17" s="243" t="str">
        <x:v>2 &amp; 3 Bedrooms</x:v>
      </x:c>
      <x:c r="C17" s="243"/>
      <x:c r="D17" s="243"/>
      <x:c r="E17" s="260" t="str">
        <x:v>VALOR POTENCIAL DEL SUELO</x:v>
      </x:c>
      <x:c r="F17" s="261" t="n">
        <x:f>Calculations!B26</x:f>
        <x:v>4000000</x:v>
      </x:c>
      <x:c r="G17" s="243"/>
      <x:c r="H17" s="243"/>
      <x:c r="I17" s="243" t="str">
        <x:v>Arquitecto local &amp; ingeniería</x:v>
      </x:c>
      <x:c r="J17" s="243" t="str">
        <x:v>Input editable</x:v>
      </x:c>
      <x:c r="K17" s="247" t="n">
        <x:f>-Calculations!B9</x:f>
        <x:v>-120000</x:v>
      </x:c>
      <x:c r="L17" s="248" t="n">
        <x:f>K18/Calculations!B2</x:f>
        <x:v>-0.008</x:v>
      </x:c>
      <x:c r="M17" s="243"/>
      <x:c r="N17" s="243"/>
      <x:c r="O17" s="243"/>
      <x:c r="P17" s="243"/>
      <x:c r="Q17" s="240" t="str">
        <x:v>MÉTRICAS CLAVE – PHASE I</x:v>
      </x:c>
      <x:c r="R17" s="240"/>
      <x:c r="S17" s="240"/>
      <x:c r="T17" s="240"/>
      <x:c r="U17" s="240"/>
      <x:c r="V17" s="240"/>
      <x:c r="W17" s="240"/>
      <x:c r="X17" s="240"/>
      <x:c r="Y17" s="240"/>
      <x:c r="Z17" s="241"/>
    </x:row>
    <x:row r="18" ht="57.599998474121094" hidden="0" customHeight="1">
      <x:c r="A18" s="259" t="str">
        <x:v>Precio de venta por villa</x:v>
      </x:c>
      <x:c r="B18" s="247" t="n">
        <x:f>Assumptions!B3</x:f>
        <x:v>1000000</x:v>
      </x:c>
      <x:c r="C18" s="243"/>
      <x:c r="D18" s="243"/>
      <x:c r="E18" s="246" t="str">
        <x:v>Uso previsto</x:v>
      </x:c>
      <x:c r="F18" s="247" t="str">
        <x:v>Residencial turístico</x:v>
      </x:c>
      <x:c r="G18" s="243"/>
      <x:c r="H18" s="243"/>
      <x:c r="I18" s="243" t="str">
        <x:v>Otros profesionales técnicos</x:v>
      </x:c>
      <x:c r="J18" s="243" t="str">
        <x:v>Input editable</x:v>
      </x:c>
      <x:c r="K18" s="247" t="n">
        <x:f>-Calculations!B10</x:f>
        <x:v>-80000</x:v>
      </x:c>
      <x:c r="L18" s="248" t="n">
        <x:f>K19/Calculations!B2</x:f>
        <x:v>-0.02</x:v>
      </x:c>
      <x:c r="M18" s="243"/>
      <x:c r="N18" s="243"/>
      <x:c r="O18" s="243"/>
      <x:c r="P18" s="243"/>
      <x:c r="Q18" s="180" t="str">
        <x:f>"VENTAS (GDV)"&amp;CHAR(10)&amp;TEXT(Calculations!B2,"€#,##0")</x:f>
        <x:v>VENTAS (GDV)
€10,000,000</x:v>
      </x:c>
      <x:c r="R18" s="180"/>
      <x:c r="S18" s="180" t="str">
        <x:f>"BENEFICIO NETO LAWANG"&amp;CHAR(10)&amp;TEXT(Calculations!B22,"€#,##0")</x:f>
        <x:v>BENEFICIO NETO LAWANG
€3,081,600</x:v>
      </x:c>
      <x:c r="T18" s="180"/>
      <x:c r="U18" s="180"/>
      <x:c r="V18" s="180" t="str">
        <x:f>"MARGEN NETO SOBRE VENTAS"&amp;CHAR(10)&amp;TEXT(Calculations!B23,"0.0%")</x:f>
        <x:v>MARGEN NETO SOBRE VENTAS
30.8%</x:v>
      </x:c>
      <x:c r="W18" s="180"/>
      <x:c r="X18" s="180"/>
      <x:c r="Y18" s="180"/>
      <x:c r="Z18" s="181"/>
    </x:row>
    <x:row r="19" ht="39.599998474121094" hidden="0" customHeight="1">
      <x:c r="A19" s="259" t="str">
        <x:v>Ventas totales (GDV)</x:v>
      </x:c>
      <x:c r="B19" s="247" t="n">
        <x:f>Calculations!B2</x:f>
        <x:v>10000000</x:v>
      </x:c>
      <x:c r="C19" s="243"/>
      <x:c r="D19" s="243"/>
      <x:c r="E19" s="246" t="str">
        <x:v>Coste adquisición del suelo</x:v>
      </x:c>
      <x:c r="F19" s="247" t="n">
        <x:f>Assumptions!B8</x:f>
        <x:v>2000000</x:v>
      </x:c>
      <x:c r="G19" s="243"/>
      <x:c r="H19" s="243"/>
      <x:c r="I19" s="243" t="str">
        <x:v>TOTAL HONORARIOS &amp; PROF.</x:v>
      </x:c>
      <x:c r="J19" s="243" t="str"/>
      <x:c r="K19" s="247" t="n">
        <x:f>SUM(K17:K19)</x:f>
        <x:v>-200000</x:v>
      </x:c>
      <x:c r="L19" s="248" t="n">
        <x:f>K20/Calculations!B2</x:f>
        <x:v>0</x:v>
      </x:c>
      <x:c r="M19" s="243"/>
      <x:c r="N19" s="243"/>
      <x:c r="O19" s="243"/>
      <x:c r="P19" s="243"/>
      <x:c r="Q19" s="180"/>
      <x:c r="R19" s="180"/>
      <x:c r="S19" s="180"/>
      <x:c r="T19" s="180"/>
      <x:c r="U19" s="180"/>
      <x:c r="V19" s="180"/>
      <x:c r="W19" s="180"/>
      <x:c r="X19" s="180"/>
      <x:c r="Y19" s="180"/>
      <x:c r="Z19" s="181"/>
    </x:row>
    <x:row r="20" ht="57.599998474121094" hidden="0" customHeight="1">
      <x:c r="A20" s="259" t="str">
        <x:v>Inicio comercialización</x:v>
      </x:c>
      <x:c r="B20" s="243" t="str">
        <x:v>Mes 2 – 4</x:v>
      </x:c>
      <x:c r="C20" s="243"/>
      <x:c r="D20" s="243"/>
      <x:c r="E20" s="246" t="str">
        <x:v>Plusvalía estimada del suelo</x:v>
      </x:c>
      <x:c r="F20" s="247" t="n">
        <x:f>Calculations!B27</x:f>
        <x:v>2000000</x:v>
      </x:c>
      <x:c r="G20" s="243"/>
      <x:c r="H20" s="243"/>
      <x:c r="I20" s="249" t="str">
        <x:v>4. GASTOS COMERCIALES &amp; ADMIN.</x:v>
      </x:c>
      <x:c r="J20" s="249" t="str"/>
      <x:c r="K20" s="250" t="str"/>
      <x:c r="L20" s="251" t="str"/>
      <x:c r="M20" s="243"/>
      <x:c r="N20" s="243"/>
      <x:c r="O20" s="243"/>
      <x:c r="P20" s="243"/>
      <x:c r="Q20" s="180" t="str">
        <x:f>"ROI SOBRE COSTE TOTAL"&amp;CHAR(10)&amp;TEXT(Calculations!B24,"0.0%")</x:f>
        <x:v>ROI SOBRE COSTE TOTAL
45.4%</x:v>
      </x:c>
      <x:c r="R20" s="180"/>
      <x:c r="S20" s="180" t="str">
        <x:f>"ROI SOBRE INVERSIÓN TOTAL"&amp;CHAR(10)&amp;TEXT(Calculations!B25,"0.0%")</x:f>
        <x:v>ROI SOBRE INVERSIÓN TOTAL
51.4%</x:v>
      </x:c>
      <x:c r="T20" s="180"/>
      <x:c r="U20" s="180"/>
      <x:c r="V20" s="180" t="str">
        <x:v>PAYBACK ESTIMADO
12 – 14 MESES</x:v>
      </x:c>
      <x:c r="W20" s="180"/>
      <x:c r="X20" s="180"/>
      <x:c r="Y20" s="180"/>
      <x:c r="Z20" s="181"/>
    </x:row>
    <x:row r="21" ht="26.399999618530273" hidden="0" customHeight="1">
      <x:c r="A21" s="259" t="str">
        <x:v>Entrega estimada</x:v>
      </x:c>
      <x:c r="B21" s="243" t="str">
        <x:v>Mes 12 – 14</x:v>
      </x:c>
      <x:c r="C21" s="243"/>
      <x:c r="D21" s="243"/>
      <x:c r="E21" s="243"/>
      <x:c r="F21" s="243"/>
      <x:c r="G21" s="243"/>
      <x:c r="H21" s="243"/>
      <x:c r="I21" s="243" t="str">
        <x:v>Marketing &amp; Branding</x:v>
      </x:c>
      <x:c r="J21" s="243" t="str">
        <x:v>Input editable</x:v>
      </x:c>
      <x:c r="K21" s="247" t="n">
        <x:f>-Calculations!B12</x:f>
        <x:v>-150000</x:v>
      </x:c>
      <x:c r="L21" s="248" t="n">
        <x:f>K23/Calculations!B2</x:f>
        <x:v>-0.005</x:v>
      </x:c>
      <x:c r="M21" s="243"/>
      <x:c r="N21" s="243"/>
      <x:c r="O21" s="243"/>
      <x:c r="P21" s="243"/>
      <x:c r="Q21" s="180"/>
      <x:c r="R21" s="180"/>
      <x:c r="S21" s="180"/>
      <x:c r="T21" s="180"/>
      <x:c r="U21" s="180"/>
      <x:c r="V21" s="180"/>
      <x:c r="W21" s="180"/>
      <x:c r="X21" s="180"/>
      <x:c r="Y21" s="180"/>
      <x:c r="Z21" s="181"/>
    </x:row>
    <x:row r="22" ht="26.399999618530273" hidden="0" customHeight="1">
      <x:c r="A22" s="262"/>
      <x:c r="B22" s="243"/>
      <x:c r="C22" s="243"/>
      <x:c r="D22" s="243"/>
      <x:c r="E22" s="243"/>
      <x:c r="F22" s="243"/>
      <x:c r="G22" s="243"/>
      <x:c r="H22" s="243"/>
      <x:c r="I22" s="245" t="str">
        <x:v>Comisiones comerciales (3%)</x:v>
      </x:c>
      <x:c r="J22" s="245" t="str">
        <x:v>% de ventas</x:v>
      </x:c>
      <x:c r="K22" s="252" t="n">
        <x:f>-Calculations!B13</x:f>
        <x:v>-300000</x:v>
      </x:c>
      <x:c r="L22" s="253" t="n">
        <x:f>K24/Calculations!B2</x:f>
        <x:v>-0.005</x:v>
      </x:c>
      <x:c r="M22" s="243"/>
      <x:c r="N22" s="243"/>
      <x:c r="O22" s="243"/>
      <x:c r="P22" s="243"/>
      <x:c r="Q22" s="243"/>
      <x:c r="R22" s="243"/>
      <x:c r="S22" s="243"/>
      <x:c r="T22" s="243"/>
      <x:c r="U22" s="243"/>
      <x:c r="V22" s="243"/>
      <x:c r="W22" s="243"/>
      <x:c r="X22" s="243"/>
      <x:c r="Y22" s="243"/>
      <x:c r="Z22" s="244"/>
    </x:row>
    <x:row r="23" ht="57.599998474121094" hidden="0" customHeight="1">
      <x:c r="A23" s="258" t="str">
        <x:v>INVERSIÓN &amp; COSTE TOTAL – PHASE I</x:v>
      </x:c>
      <x:c r="B23" s="240"/>
      <x:c r="C23" s="240"/>
      <x:c r="D23" s="240"/>
      <x:c r="E23" s="240" t="str">
        <x:v>ESTRUCTURA DE FINANCIACIÓN – PHASE I</x:v>
      </x:c>
      <x:c r="F23" s="240"/>
      <x:c r="G23" s="240"/>
      <x:c r="H23" s="240"/>
      <x:c r="I23" s="243" t="str">
        <x:v>Gastos legales &amp; notaría</x:v>
      </x:c>
      <x:c r="J23" s="243" t="str">
        <x:v>Input editable</x:v>
      </x:c>
      <x:c r="K23" s="247" t="n">
        <x:f>-Calculations!B14</x:f>
        <x:v>-50000</x:v>
      </x:c>
      <x:c r="L23" s="248" t="n">
        <x:f>K25/Calculations!B2</x:f>
        <x:v>-0.02</x:v>
      </x:c>
      <x:c r="M23" s="243"/>
      <x:c r="N23" s="243"/>
      <x:c r="O23" s="243"/>
      <x:c r="P23" s="243"/>
      <x:c r="Q23" s="240" t="str">
        <x:v>¿QUIÉN HACE QUÉ?</x:v>
      </x:c>
      <x:c r="R23" s="240"/>
      <x:c r="S23" s="240"/>
      <x:c r="T23" s="240"/>
      <x:c r="U23" s="240"/>
      <x:c r="V23" s="240"/>
      <x:c r="W23" s="240"/>
      <x:c r="X23" s="240"/>
      <x:c r="Y23" s="240"/>
      <x:c r="Z23" s="241"/>
    </x:row>
    <x:row r="24" ht="171.60000610351562" hidden="0" customHeight="1">
      <x:c r="A24" s="262" t="str">
        <x:v>Coste adquisición del suelo</x:v>
      </x:c>
      <x:c r="B24" s="247" t="n">
        <x:f>Calculations!B4</x:f>
        <x:v>2000000</x:v>
      </x:c>
      <x:c r="C24" s="243"/>
      <x:c r="D24" s="243"/>
      <x:c r="E24" s="243" t="str">
        <x:v>Preventas (30%)</x:v>
      </x:c>
      <x:c r="F24" s="247" t="n">
        <x:f>Calculations!B2*Assumptions!B21</x:f>
        <x:v>3000000</x:v>
      </x:c>
      <x:c r="G24" s="243"/>
      <x:c r="H24" s="243"/>
      <x:c r="I24" s="243" t="str">
        <x:v>Gastos administrativos</x:v>
      </x:c>
      <x:c r="J24" s="243" t="str">
        <x:v>Input editable</x:v>
      </x:c>
      <x:c r="K24" s="247" t="n">
        <x:f>-Calculations!B15</x:f>
        <x:v>-50000</x:v>
      </x:c>
      <x:c r="L24" s="248" t="n">
        <x:f>K26/Calculations!B2</x:f>
        <x:v>-0.03</x:v>
      </x:c>
      <x:c r="M24" s="243"/>
      <x:c r="N24" s="243"/>
      <x:c r="O24" s="243"/>
      <x:c r="P24" s="243"/>
      <x:c r="Q24" s="183" t="str">
        <x:v>LAWANG (FRAN &amp; PABLO)
Promotor &amp; Desarrollador
Propietario del Suelo
Construcción &amp; Gestión de Obra
Comercialización
Beneficio Residual</x:v>
      </x:c>
      <x:c r="R24" s="183" t="str"/>
      <x:c r="S24" s="183" t="str">
        <x:v>TONINO LAMBORGHINI
Uso de marca
3% del beneficio</x:v>
      </x:c>
      <x:c r="T24" s="183" t="str"/>
      <x:c r="U24" s="183" t="str">
        <x:v>INTRODUCCIÓN MARCA
Conexión &amp; Introducción
1% del beneficio</x:v>
      </x:c>
      <x:c r="V24" s="183" t="str"/>
      <x:c r="W24" s="183" t="str">
        <x:v>NICK MALTESE STUDIO
Diseño Arquitectónico
Dirección Artística
Interiores &amp; Branding
8% sobre coste construcción</x:v>
      </x:c>
      <x:c r="X24" s="183" t="str"/>
      <x:c r="Y24" s="183" t="str"/>
      <x:c r="Z24" s="184" t="str"/>
    </x:row>
    <x:row r="25" ht="26.399999618530273" hidden="0" customHeight="1">
      <x:c r="A25" s="262" t="str">
        <x:v>Construcción (10 villas)</x:v>
      </x:c>
      <x:c r="B25" s="247" t="n">
        <x:f>Calculations!B3</x:f>
        <x:v>3000000</x:v>
      </x:c>
      <x:c r="C25" s="243"/>
      <x:c r="D25" s="243"/>
      <x:c r="E25" s="243" t="str">
        <x:v>Aportación socios (35%)</x:v>
      </x:c>
      <x:c r="F25" s="247" t="n">
        <x:f>Calculations!B2*Assumptions!B22</x:f>
        <x:v>3500000</x:v>
      </x:c>
      <x:c r="G25" s="243"/>
      <x:c r="H25" s="243"/>
      <x:c r="I25" s="243" t="str">
        <x:v>Seguros &amp; Contingencias (2%)</x:v>
      </x:c>
      <x:c r="J25" s="243" t="str">
        <x:v>% de ventas</x:v>
      </x:c>
      <x:c r="K25" s="247" t="n">
        <x:f>-Calculations!B16</x:f>
        <x:v>-200000</x:v>
      </x:c>
      <x:c r="L25" s="248" t="n">
        <x:f>K27/Calculations!B2</x:f>
        <x:v>0.321</x:v>
      </x:c>
      <x:c r="M25" s="243"/>
      <x:c r="N25" s="243"/>
      <x:c r="O25" s="243"/>
      <x:c r="P25" s="243"/>
      <x:c r="Q25" s="183" t="str"/>
      <x:c r="R25" s="183" t="str"/>
      <x:c r="S25" s="183" t="str"/>
      <x:c r="T25" s="183" t="str"/>
      <x:c r="U25" s="183" t="str"/>
      <x:c r="V25" s="183" t="str"/>
      <x:c r="W25" s="183" t="str"/>
      <x:c r="X25" s="183" t="str"/>
      <x:c r="Y25" s="183" t="str"/>
      <x:c r="Z25" s="184" t="str"/>
    </x:row>
    <x:row r="26" ht="52.79999923706055" hidden="0" customHeight="1">
      <x:c r="A26" s="262" t="str">
        <x:v>Urbanización &amp; Infraestructura</x:v>
      </x:c>
      <x:c r="B26" s="247" t="n">
        <x:f>Calculations!B5</x:f>
        <x:v>500000</x:v>
      </x:c>
      <x:c r="C26" s="243"/>
      <x:c r="D26" s="243"/>
      <x:c r="E26" s="243" t="str">
        <x:v>Necesidad financiación / crédito puente (25%)</x:v>
      </x:c>
      <x:c r="F26" s="247" t="n">
        <x:f>Calculations!B2*Assumptions!B23</x:f>
        <x:v>2500000</x:v>
      </x:c>
      <x:c r="G26" s="243"/>
      <x:c r="H26" s="243"/>
      <x:c r="I26" s="243" t="str">
        <x:v>TOTAL GASTOS COMERCIALES &amp; ADM.</x:v>
      </x:c>
      <x:c r="J26" s="243" t="str"/>
      <x:c r="K26" s="247" t="n">
        <x:f>SUM(K23:K27)</x:f>
        <x:v>-300000</x:v>
      </x:c>
      <x:c r="L26" s="248" t="n">
        <x:f>K28/Calculations!B2</x:f>
        <x:v>0</x:v>
      </x:c>
      <x:c r="M26" s="243"/>
      <x:c r="N26" s="243"/>
      <x:c r="O26" s="243"/>
      <x:c r="P26" s="243"/>
      <x:c r="Q26" s="183" t="str"/>
      <x:c r="R26" s="183" t="str"/>
      <x:c r="S26" s="183" t="str"/>
      <x:c r="T26" s="183" t="str"/>
      <x:c r="U26" s="183" t="str"/>
      <x:c r="V26" s="183" t="str"/>
      <x:c r="W26" s="183" t="str"/>
      <x:c r="X26" s="183" t="str"/>
      <x:c r="Y26" s="183" t="str"/>
      <x:c r="Z26" s="184" t="str"/>
    </x:row>
    <x:row r="27" ht="39.599998474121094" hidden="0" customHeight="1">
      <x:c r="A27" s="262" t="str">
        <x:v>Licencias &amp; Permisos</x:v>
      </x:c>
      <x:c r="B27" s="247" t="n">
        <x:f>Calculations!B6</x:f>
        <x:v>100000</x:v>
      </x:c>
      <x:c r="C27" s="243"/>
      <x:c r="D27" s="243"/>
      <x:c r="E27" s="249" t="str">
        <x:v>TOTAL FINANCIACIÓN</x:v>
      </x:c>
      <x:c r="F27" s="250" t="n">
        <x:f>SUM(F24:F26)</x:f>
        <x:v>9000000</x:v>
      </x:c>
      <x:c r="G27" s="243"/>
      <x:c r="H27" s="243"/>
      <x:c r="I27" s="243" t="str">
        <x:v>MARGEN OPERATIVO ANTES DE REPARTOS</x:v>
      </x:c>
      <x:c r="J27" s="243" t="str"/>
      <x:c r="K27" s="247" t="n">
        <x:f>Calculations!B19</x:f>
        <x:v>3210000</x:v>
      </x:c>
      <x:c r="L27" s="248" t="n">
        <x:f>K29/Calculations!B2</x:f>
        <x:v>0</x:v>
      </x:c>
      <x:c r="M27" s="243"/>
      <x:c r="N27" s="243"/>
      <x:c r="O27" s="243"/>
      <x:c r="P27" s="243"/>
      <x:c r="Q27" s="183" t="str"/>
      <x:c r="R27" s="183" t="str"/>
      <x:c r="S27" s="183" t="str"/>
      <x:c r="T27" s="183" t="str"/>
      <x:c r="U27" s="183" t="str"/>
      <x:c r="V27" s="183" t="str"/>
      <x:c r="W27" s="183" t="str"/>
      <x:c r="X27" s="183" t="str"/>
      <x:c r="Y27" s="183" t="str"/>
      <x:c r="Z27" s="184" t="str"/>
    </x:row>
    <x:row r="28" ht="26.399999618530273" hidden="0" customHeight="1">
      <x:c r="A28" s="262" t="str">
        <x:v>Honorarios &amp; Profesionales</x:v>
      </x:c>
      <x:c r="B28" s="247" t="n">
        <x:f>Calculations!B11</x:f>
        <x:v>440000</x:v>
      </x:c>
      <x:c r="C28" s="243"/>
      <x:c r="D28" s="243"/>
      <x:c r="E28" s="243"/>
      <x:c r="F28" s="243"/>
      <x:c r="G28" s="243"/>
      <x:c r="H28" s="243"/>
      <x:c r="I28" s="249"/>
      <x:c r="J28" s="249"/>
      <x:c r="K28" s="250"/>
      <x:c r="L28" s="251"/>
      <x:c r="M28" s="243"/>
      <x:c r="N28" s="243"/>
      <x:c r="O28" s="243"/>
      <x:c r="P28" s="243"/>
      <x:c r="Q28" s="183" t="str"/>
      <x:c r="R28" s="183" t="str"/>
      <x:c r="S28" s="183" t="str"/>
      <x:c r="T28" s="183" t="str"/>
      <x:c r="U28" s="183" t="str"/>
      <x:c r="V28" s="183" t="str"/>
      <x:c r="W28" s="183" t="str"/>
      <x:c r="X28" s="183" t="str"/>
      <x:c r="Y28" s="183" t="str"/>
      <x:c r="Z28" s="184" t="str"/>
    </x:row>
    <x:row r="29" ht="39.599998474121094" hidden="0" customHeight="1">
      <x:c r="A29" s="262" t="str">
        <x:v>Gastos Comerciales &amp; Admin.</x:v>
      </x:c>
      <x:c r="B29" s="247" t="n">
        <x:f>Calculations!B17</x:f>
        <x:v>750000</x:v>
      </x:c>
      <x:c r="C29" s="243"/>
      <x:c r="D29" s="243"/>
      <x:c r="E29" s="243"/>
      <x:c r="F29" s="243"/>
      <x:c r="G29" s="243"/>
      <x:c r="H29" s="243"/>
      <x:c r="I29" s="249"/>
      <x:c r="J29" s="249"/>
      <x:c r="K29" s="250"/>
      <x:c r="L29" s="251"/>
      <x:c r="M29" s="243"/>
      <x:c r="N29" s="243"/>
      <x:c r="O29" s="243"/>
      <x:c r="P29" s="243"/>
      <x:c r="Q29" s="183" t="str"/>
      <x:c r="R29" s="183" t="str"/>
      <x:c r="S29" s="183" t="str"/>
      <x:c r="T29" s="183" t="str"/>
      <x:c r="U29" s="183" t="str"/>
      <x:c r="V29" s="183" t="str"/>
      <x:c r="W29" s="183" t="str"/>
      <x:c r="X29" s="183" t="str"/>
      <x:c r="Y29" s="183" t="str"/>
      <x:c r="Z29" s="184" t="str"/>
    </x:row>
    <x:row r="30" ht="39.599998474121094" hidden="0" customHeight="1">
      <x:c r="A30" s="263" t="str">
        <x:v>COSTE TOTAL DEL PROYECTO + REPARTOS</x:v>
      </x:c>
      <x:c r="B30" s="250" t="n">
        <x:f>Calculations!B18+Calculations!B20+Calculations!B21</x:f>
        <x:v>6918400</x:v>
      </x:c>
      <x:c r="C30" s="243"/>
      <x:c r="D30" s="243"/>
      <x:c r="E30" s="243"/>
      <x:c r="F30" s="243"/>
      <x:c r="G30" s="243"/>
      <x:c r="H30" s="243"/>
      <x:c r="I30" s="243"/>
      <x:c r="J30" s="243"/>
      <x:c r="K30" s="243"/>
      <x:c r="L30" s="243"/>
      <x:c r="M30" s="243"/>
      <x:c r="N30" s="243"/>
      <x:c r="O30" s="243"/>
      <x:c r="P30" s="243"/>
      <x:c r="Q30" s="243"/>
      <x:c r="R30" s="243"/>
      <x:c r="S30" s="243"/>
      <x:c r="T30" s="243"/>
      <x:c r="U30" s="243"/>
      <x:c r="V30" s="243"/>
      <x:c r="W30" s="243"/>
      <x:c r="X30" s="243"/>
      <x:c r="Y30" s="243"/>
      <x:c r="Z30" s="244"/>
    </x:row>
    <x:row r="31" ht="57.599998474121094" hidden="0" customHeight="1">
      <x:c r="A31" s="262"/>
      <x:c r="B31" s="247"/>
      <x:c r="C31" s="243"/>
      <x:c r="D31" s="243"/>
      <x:c r="E31" s="243"/>
      <x:c r="F31" s="243"/>
      <x:c r="G31" s="243"/>
      <x:c r="H31" s="243"/>
      <x:c r="I31" s="240" t="str">
        <x:v>CASH FLOW ESTIMADO – PHASE I (10 VILLAS)</x:v>
      </x:c>
      <x:c r="J31" s="240"/>
      <x:c r="K31" s="240"/>
      <x:c r="L31" s="240"/>
      <x:c r="M31" s="240"/>
      <x:c r="N31" s="240"/>
      <x:c r="O31" s="240"/>
      <x:c r="P31" s="240"/>
      <x:c r="Q31" s="243"/>
      <x:c r="R31" s="243"/>
      <x:c r="S31" s="243"/>
      <x:c r="T31" s="243"/>
      <x:c r="U31" s="243"/>
      <x:c r="V31" s="243"/>
      <x:c r="W31" s="243"/>
      <x:c r="X31" s="243"/>
      <x:c r="Y31" s="243"/>
      <x:c r="Z31" s="244"/>
    </x:row>
    <x:row r="32" ht="57.599998474121094" hidden="0" customHeight="1">
      <x:c r="A32" s="258" t="str">
        <x:v>ROADMAP GENERAL DEL PROYECTO (50 VILLAS)</x:v>
      </x:c>
      <x:c r="B32" s="302" t="n">
        <x:f>Calculations!B18+B31</x:f>
        <x:v>6790000</x:v>
      </x:c>
      <x:c r="C32" s="240"/>
      <x:c r="D32" s="240"/>
      <x:c r="E32" s="240"/>
      <x:c r="F32" s="240"/>
      <x:c r="G32" s="240"/>
      <x:c r="H32" s="240"/>
      <x:c r="I32" s="242" t="str">
        <x:v>HITO</x:v>
      </x:c>
      <x:c r="J32" s="242" t="str">
        <x:v>MES</x:v>
      </x:c>
      <x:c r="K32" s="242" t="str">
        <x:v>ENTRADAS (€)</x:v>
      </x:c>
      <x:c r="L32" s="242" t="str">
        <x:v>SALIDAS (€)</x:v>
      </x:c>
      <x:c r="M32" s="242" t="str">
        <x:v>CASH FLOW ACUMULADO (€)</x:v>
      </x:c>
      <x:c r="N32" s="243"/>
      <x:c r="O32" s="243"/>
      <x:c r="P32" s="243"/>
      <x:c r="Q32" s="243"/>
      <x:c r="R32" s="243"/>
      <x:c r="S32" s="243"/>
      <x:c r="T32" s="243"/>
      <x:c r="U32" s="243"/>
      <x:c r="V32" s="243"/>
      <x:c r="W32" s="243"/>
      <x:c r="X32" s="243"/>
      <x:c r="Y32" s="243"/>
      <x:c r="Z32" s="244"/>
    </x:row>
    <x:row r="33" ht="92.4000015258789" hidden="0" customHeight="1">
      <x:c r="A33" s="186" t="str">
        <x:v>FASE I
10 VILLAS
Meses 0–14
Validación del mercado
Generación de caja</x:v>
      </x:c>
      <x:c r="B33" s="183" t="str"/>
      <x:c r="C33" s="183" t="str">
        <x:v>→</x:v>
      </x:c>
      <x:c r="D33" s="183" t="str">
        <x:v>FASE II
20 VILLAS
Meses 14–24
Escalado del proyecto
con flujo propio</x:v>
      </x:c>
      <x:c r="E33" s="183" t="str"/>
      <x:c r="F33" s="183" t="str">
        <x:v>→</x:v>
      </x:c>
      <x:c r="G33" s="183" t="str">
        <x:v>FASE III
20 VILLAS
Meses 24–36+
Expansión completa
masterplan</x:v>
      </x:c>
      <x:c r="H33" s="183" t="str"/>
      <x:c r="I33" s="243" t="str">
        <x:v>Preventas &amp; Reservas (30%)</x:v>
      </x:c>
      <x:c r="J33" s="243" t="str">
        <x:v>2–4</x:v>
      </x:c>
      <x:c r="K33" s="247" t="n">
        <x:f>Calculations!B2*Assumptions!B21</x:f>
        <x:v>3000000</x:v>
      </x:c>
      <x:c r="L33" s="247" t="n">
        <x:v>0</x:v>
      </x:c>
      <x:c r="M33" s="247" t="n">
        <x:f>K33-L33</x:f>
        <x:v>3000000</x:v>
      </x:c>
      <x:c r="N33" s="243"/>
      <x:c r="O33" s="243"/>
      <x:c r="P33" s="243"/>
      <x:c r="Q33" s="243"/>
      <x:c r="R33" s="243"/>
      <x:c r="S33" s="243"/>
      <x:c r="T33" s="243"/>
      <x:c r="U33" s="243"/>
      <x:c r="V33" s="243"/>
      <x:c r="W33" s="243"/>
      <x:c r="X33" s="243"/>
      <x:c r="Y33" s="243"/>
      <x:c r="Z33" s="244"/>
    </x:row>
    <x:row r="34" ht="15" hidden="0" customHeight="1">
      <x:c r="A34" s="186" t="str"/>
      <x:c r="B34" s="183" t="str"/>
      <x:c r="C34" s="183" t="str"/>
      <x:c r="D34" s="183" t="str"/>
      <x:c r="E34" s="183" t="str"/>
      <x:c r="F34" s="183" t="str"/>
      <x:c r="G34" s="183" t="str"/>
      <x:c r="H34" s="183" t="str"/>
      <x:c r="I34" s="243" t="str">
        <x:v>Inicio Construcción</x:v>
      </x:c>
      <x:c r="J34" s="243" t="str">
        <x:v>6</x:v>
      </x:c>
      <x:c r="K34" s="247" t="n">
        <x:v>0</x:v>
      </x:c>
      <x:c r="L34" s="247" t="n">
        <x:v>1500000</x:v>
      </x:c>
      <x:c r="M34" s="247" t="n">
        <x:f>M33+K34-L34</x:f>
        <x:v>1500000</x:v>
      </x:c>
      <x:c r="N34" s="243"/>
      <x:c r="O34" s="243"/>
      <x:c r="P34" s="243"/>
      <x:c r="Q34" s="243"/>
      <x:c r="R34" s="243"/>
      <x:c r="S34" s="243"/>
      <x:c r="T34" s="243"/>
      <x:c r="U34" s="243"/>
      <x:c r="V34" s="243"/>
      <x:c r="W34" s="243"/>
      <x:c r="X34" s="243"/>
      <x:c r="Y34" s="243"/>
      <x:c r="Z34" s="244"/>
    </x:row>
    <x:row r="35" ht="15" hidden="0" customHeight="1">
      <x:c r="A35" s="186" t="str"/>
      <x:c r="B35" s="183" t="str"/>
      <x:c r="C35" s="183" t="str"/>
      <x:c r="D35" s="183" t="str"/>
      <x:c r="E35" s="183" t="str"/>
      <x:c r="F35" s="183" t="str"/>
      <x:c r="G35" s="183" t="str"/>
      <x:c r="H35" s="183" t="str"/>
      <x:c r="I35" s="243" t="str">
        <x:v>Avance Obra 30%</x:v>
      </x:c>
      <x:c r="J35" s="243" t="str">
        <x:v>8</x:v>
      </x:c>
      <x:c r="K35" s="247" t="n">
        <x:v>0</x:v>
      </x:c>
      <x:c r="L35" s="247" t="n">
        <x:v>1200000</x:v>
      </x:c>
      <x:c r="M35" s="247" t="n">
        <x:f>M34+K35-L35</x:f>
        <x:v>300000</x:v>
      </x:c>
      <x:c r="N35" s="243"/>
      <x:c r="O35" s="243"/>
      <x:c r="P35" s="243"/>
      <x:c r="Q35" s="243"/>
      <x:c r="R35" s="243"/>
      <x:c r="S35" s="243"/>
      <x:c r="T35" s="243"/>
      <x:c r="U35" s="243"/>
      <x:c r="V35" s="243"/>
      <x:c r="W35" s="243"/>
      <x:c r="X35" s="243"/>
      <x:c r="Y35" s="243"/>
      <x:c r="Z35" s="244"/>
    </x:row>
    <x:row r="36" ht="15" hidden="0" customHeight="1">
      <x:c r="A36" s="186" t="str"/>
      <x:c r="B36" s="183" t="str"/>
      <x:c r="C36" s="183" t="str"/>
      <x:c r="D36" s="183" t="str"/>
      <x:c r="E36" s="183" t="str"/>
      <x:c r="F36" s="183" t="str"/>
      <x:c r="G36" s="183" t="str"/>
      <x:c r="H36" s="183" t="str"/>
      <x:c r="I36" s="243" t="str">
        <x:v>Avance Obra 60%</x:v>
      </x:c>
      <x:c r="J36" s="243" t="str">
        <x:v>10</x:v>
      </x:c>
      <x:c r="K36" s="247" t="n">
        <x:v>0</x:v>
      </x:c>
      <x:c r="L36" s="247" t="n">
        <x:v>1000000</x:v>
      </x:c>
      <x:c r="M36" s="247" t="n">
        <x:f>M35+K36-L36</x:f>
        <x:v>-700000</x:v>
      </x:c>
      <x:c r="N36" s="243"/>
      <x:c r="O36" s="243"/>
      <x:c r="P36" s="243"/>
      <x:c r="Q36" s="243"/>
      <x:c r="R36" s="243"/>
      <x:c r="S36" s="243"/>
      <x:c r="T36" s="243"/>
      <x:c r="U36" s="243"/>
      <x:c r="V36" s="243"/>
      <x:c r="W36" s="243"/>
      <x:c r="X36" s="243"/>
      <x:c r="Y36" s="243"/>
      <x:c r="Z36" s="244"/>
    </x:row>
    <x:row r="37" ht="15" hidden="0" customHeight="1">
      <x:c r="A37" s="262"/>
      <x:c r="B37" s="243"/>
      <x:c r="C37" s="243"/>
      <x:c r="D37" s="243"/>
      <x:c r="E37" s="243"/>
      <x:c r="F37" s="243"/>
      <x:c r="G37" s="243"/>
      <x:c r="H37" s="243"/>
      <x:c r="I37" s="243" t="str">
        <x:v>Avance Obra 80%</x:v>
      </x:c>
      <x:c r="J37" s="243" t="str">
        <x:v>12</x:v>
      </x:c>
      <x:c r="K37" s="247" t="n">
        <x:v>0</x:v>
      </x:c>
      <x:c r="L37" s="247" t="n">
        <x:v>800000</x:v>
      </x:c>
      <x:c r="M37" s="247" t="n">
        <x:f>M36+K37-L37</x:f>
        <x:v>-1500000</x:v>
      </x:c>
      <x:c r="N37" s="243"/>
      <x:c r="O37" s="243"/>
      <x:c r="P37" s="243"/>
      <x:c r="Q37" s="243"/>
      <x:c r="R37" s="243"/>
      <x:c r="S37" s="243"/>
      <x:c r="T37" s="243"/>
      <x:c r="U37" s="243"/>
      <x:c r="V37" s="243"/>
      <x:c r="W37" s="243"/>
      <x:c r="X37" s="243"/>
      <x:c r="Y37" s="243"/>
      <x:c r="Z37" s="244"/>
    </x:row>
    <x:row r="38" ht="43.20000076293945" hidden="0" customHeight="1">
      <x:c r="A38" s="258" t="str">
        <x:v>FUENTES / NOTAS DEL MODELO</x:v>
      </x:c>
      <x:c r="B38" s="240"/>
      <x:c r="C38" s="240"/>
      <x:c r="D38" s="240"/>
      <x:c r="E38" s="240"/>
      <x:c r="F38" s="240"/>
      <x:c r="G38" s="240"/>
      <x:c r="H38" s="240"/>
      <x:c r="I38" s="243" t="str">
        <x:v>Entrega &amp; Escrituración (70%)</x:v>
      </x:c>
      <x:c r="J38" s="243" t="str">
        <x:v>12–14</x:v>
      </x:c>
      <x:c r="K38" s="247" t="n">
        <x:f>Calculations!B2*(1-Assumptions!B21)</x:f>
        <x:v>7000000</x:v>
      </x:c>
      <x:c r="L38" s="247" t="n">
        <x:f>Calculations!B18-SUM(L34:L37)</x:f>
        <x:v>2290000</x:v>
      </x:c>
      <x:c r="M38" s="247" t="n">
        <x:f>M37+K38-L38</x:f>
        <x:v>3210000</x:v>
      </x:c>
      <x:c r="N38" s="243"/>
      <x:c r="O38" s="243"/>
      <x:c r="P38" s="243"/>
      <x:c r="Q38" s="243"/>
      <x:c r="R38" s="243"/>
      <x:c r="S38" s="243"/>
      <x:c r="T38" s="243"/>
      <x:c r="U38" s="243"/>
      <x:c r="V38" s="243"/>
      <x:c r="W38" s="243"/>
      <x:c r="X38" s="243"/>
      <x:c r="Y38" s="243"/>
      <x:c r="Z38" s="244"/>
    </x:row>
    <x:row r="39" ht="172.8000030517578" hidden="0" customHeight="1">
      <x:c r="A39" s="328" t="str">
        <x:v>Inputs principales: datos proporcionados por Fran/Pablo. Contrato Nick Maltese Studio: branded project, design &amp; artistic direction, 8% del Total Cost of Works; presentación SUMBA X LAMBORGHINI: Wild Coast Sumba Retreat, villas Type A/B, lenguaje arquitectónico y material board.</x:v>
      </x:c>
      <x:c r="B39" s="329"/>
      <x:c r="C39" s="329"/>
      <x:c r="D39" s="329"/>
      <x:c r="E39" s="329"/>
      <x:c r="F39" s="329"/>
      <x:c r="G39" s="329"/>
      <x:c r="H39" s="329"/>
      <x:c r="I39" s="249" t="str">
        <x:v>TOTAL</x:v>
      </x:c>
      <x:c r="J39" s="249" t="str"/>
      <x:c r="K39" s="250" t="n">
        <x:f>SUM(K33:K38)</x:f>
        <x:v>10000000</x:v>
      </x:c>
      <x:c r="L39" s="250" t="n">
        <x:f>SUM(L33:L38)</x:f>
        <x:v>6790000</x:v>
      </x:c>
      <x:c r="M39" s="250" t="n">
        <x:f>M38</x:f>
        <x:v>3210000</x:v>
      </x:c>
      <x:c r="N39" s="243"/>
      <x:c r="O39" s="243"/>
      <x:c r="P39" s="243"/>
      <x:c r="Q39" s="243"/>
      <x:c r="R39" s="243"/>
      <x:c r="S39" s="243"/>
      <x:c r="T39" s="243"/>
      <x:c r="U39" s="243"/>
      <x:c r="V39" s="243"/>
      <x:c r="W39" s="243"/>
      <x:c r="X39" s="243"/>
      <x:c r="Y39" s="243"/>
      <x:c r="Z39" s="244"/>
    </x:row>
    <x:row r="40" ht="15" hidden="0" customHeight="1">
      <x:c r="A40" s="328"/>
      <x:c r="B40" s="329"/>
      <x:c r="C40" s="329"/>
      <x:c r="D40" s="329"/>
      <x:c r="E40" s="329"/>
      <x:c r="F40" s="329"/>
      <x:c r="G40" s="329"/>
      <x:c r="H40" s="329"/>
      <x:c r="I40" s="243"/>
      <x:c r="J40" s="243"/>
      <x:c r="K40" s="243"/>
      <x:c r="L40" s="243"/>
      <x:c r="M40" s="243"/>
      <x:c r="N40" s="243"/>
      <x:c r="O40" s="243"/>
      <x:c r="P40" s="243"/>
      <x:c r="Q40" s="243"/>
      <x:c r="R40" s="243"/>
      <x:c r="S40" s="243"/>
      <x:c r="T40" s="243"/>
      <x:c r="U40" s="243"/>
      <x:c r="V40" s="243"/>
      <x:c r="W40" s="243"/>
      <x:c r="X40" s="243"/>
      <x:c r="Y40" s="243"/>
      <x:c r="Z40" s="244"/>
    </x:row>
    <x:row r="41" ht="28.799999237060547" hidden="0" customHeight="1">
      <x:c r="A41" s="328"/>
      <x:c r="B41" s="329"/>
      <x:c r="C41" s="329"/>
      <x:c r="D41" s="329"/>
      <x:c r="E41" s="329"/>
      <x:c r="F41" s="329"/>
      <x:c r="G41" s="329"/>
      <x:c r="H41" s="329"/>
      <x:c r="I41" s="240" t="str">
        <x:v>RESULTADO FINAL</x:v>
      </x:c>
      <x:c r="J41" s="240"/>
      <x:c r="K41" s="240"/>
      <x:c r="L41" s="240"/>
      <x:c r="M41" s="240"/>
      <x:c r="N41" s="240"/>
      <x:c r="O41" s="240"/>
      <x:c r="P41" s="240"/>
      <x:c r="Q41" s="240"/>
      <x:c r="R41" s="240"/>
      <x:c r="S41" s="240"/>
      <x:c r="T41" s="240"/>
      <x:c r="U41" s="240"/>
      <x:c r="V41" s="240"/>
      <x:c r="W41" s="240"/>
      <x:c r="X41" s="240"/>
      <x:c r="Y41" s="240"/>
      <x:c r="Z41" s="241"/>
    </x:row>
    <x:row r="42" ht="184.8000030517578" hidden="0" customHeight="1">
      <x:c r="A42" s="264"/>
      <x:c r="B42" s="265"/>
      <x:c r="C42" s="265"/>
      <x:c r="D42" s="265"/>
      <x:c r="E42" s="265"/>
      <x:c r="F42" s="265"/>
      <x:c r="G42" s="265"/>
      <x:c r="H42" s="265"/>
      <x:c r="I42" s="266" t="str">
        <x:v>ESTA PRIMERA FASE FINANCIA EL CRECIMIENTO HACIA EL MASTERPLAN COMPLETO DE 50 VILLAS · 50 M€ VENTAS POTENCIALES · MARCA LAMBORGHINI · DISEÑO &amp; EXPERIENCIA ÚNICOS</x:v>
      </x:c>
      <x:c r="J42" s="266"/>
      <x:c r="K42" s="266"/>
      <x:c r="L42" s="266"/>
      <x:c r="M42" s="266"/>
      <x:c r="N42" s="266"/>
      <x:c r="O42" s="266"/>
      <x:c r="P42" s="266"/>
      <x:c r="Q42" s="266"/>
      <x:c r="R42" s="266"/>
      <x:c r="S42" s="266"/>
      <x:c r="T42" s="266"/>
      <x:c r="U42" s="266"/>
      <x:c r="V42" s="266"/>
      <x:c r="W42" s="266"/>
      <x:c r="X42" s="266"/>
      <x:c r="Y42" s="266"/>
      <x:c r="Z42" s="267"/>
    </x:row>
  </x:sheetData>
  <x:mergeCells>
    <x:mergeCell ref="A1:Z3"/>
    <x:mergeCell ref="A4:H13"/>
    <x:mergeCell ref="A14:D14"/>
    <x:mergeCell ref="E14:H14"/>
    <x:mergeCell ref="I4:P4"/>
    <x:mergeCell ref="Q4:Z4"/>
    <x:mergeCell ref="S6:Z6"/>
    <x:mergeCell ref="S11:Z11"/>
    <x:mergeCell ref="S12:Z15"/>
    <x:mergeCell ref="A23:D23"/>
    <x:mergeCell ref="E23:H23"/>
    <x:mergeCell ref="I31:P31"/>
    <x:mergeCell ref="Q17:Z17"/>
    <x:mergeCell ref="Q18:R19"/>
    <x:mergeCell ref="S18:U19"/>
    <x:mergeCell ref="V18:Z19"/>
    <x:mergeCell ref="Q20:R21"/>
    <x:mergeCell ref="S20:U21"/>
    <x:mergeCell ref="V20:Z21"/>
    <x:mergeCell ref="Q23:Z23"/>
    <x:mergeCell ref="Q24:R29"/>
    <x:mergeCell ref="S24:T29"/>
    <x:mergeCell ref="U24:V29"/>
    <x:mergeCell ref="W24:Z29"/>
    <x:mergeCell ref="A32:H32"/>
    <x:mergeCell ref="A33:B36"/>
    <x:mergeCell ref="C33:C36"/>
    <x:mergeCell ref="D33:E36"/>
    <x:mergeCell ref="F33:F36"/>
    <x:mergeCell ref="G33:H36"/>
    <x:mergeCell ref="I41:Z41"/>
    <x:mergeCell ref="I42:Z42"/>
    <x:mergeCell ref="A38:H38"/>
    <x:mergeCell ref="A39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3799991607666" hidden="0" customWidth="1"/>
    <x:col min="2" max="2" width="7.130000114440918" hidden="0" customWidth="1"/>
    <x:col min="3" max="3" width="8.380000114440918" hidden="0" customWidth="1"/>
    <x:col min="4" max="4" width="37.25" hidden="0" customWidth="1"/>
  </x:cols>
  <x:sheetData>
    <x:row r="1">
      <x:c r="A1" s="14" t="str">
        <x:v>INPUT</x:v>
      </x:c>
      <x:c r="B1" s="15" t="str">
        <x:v>VALUE</x:v>
      </x:c>
      <x:c r="C1" s="15" t="str">
        <x:v>UNIT</x:v>
      </x:c>
      <x:c r="D1" s="16" t="str">
        <x:v>SOURCE / NOTE</x:v>
      </x:c>
    </x:row>
    <x:row r="2">
      <x:c r="A2" s="17" t="str">
        <x:v>Number of villas - Phase I</x:v>
      </x:c>
      <x:c r="B2" s="18" t="n">
        <x:v>10</x:v>
      </x:c>
      <x:c r="C2" s="19" t="str">
        <x:v>villas</x:v>
      </x:c>
      <x:c r="D2" s="20" t="str">
        <x:v>User-provided</x:v>
      </x:c>
    </x:row>
    <x:row r="3">
      <x:c r="A3" s="17" t="str">
        <x:v>Sale price per villa</x:v>
      </x:c>
      <x:c r="B3" s="18" t="n">
        <x:v>1000000</x:v>
      </x:c>
      <x:c r="C3" s="19" t="str">
        <x:v>EUR</x:v>
      </x:c>
      <x:c r="D3" s="20" t="str">
        <x:v>User-provided</x:v>
      </x:c>
    </x:row>
    <x:row r="4">
      <x:c r="A4" s="17" t="str">
        <x:v>Villa area</x:v>
      </x:c>
      <x:c r="B4" s="18" t="n">
        <x:v>500</x:v>
      </x:c>
      <x:c r="C4" s="19" t="str">
        <x:v>m²</x:v>
      </x:c>
      <x:c r="D4" s="20" t="str">
        <x:v>User-provided</x:v>
      </x:c>
    </x:row>
    <x:row r="5">
      <x:c r="A5" s="17" t="str">
        <x:v>Construction cost per villa</x:v>
      </x:c>
      <x:c r="B5" s="18" t="n">
        <x:v>300000</x:v>
      </x:c>
      <x:c r="C5" s="19" t="str">
        <x:v>EUR</x:v>
      </x:c>
      <x:c r="D5" s="20" t="str">
        <x:v>User-provided</x:v>
      </x:c>
    </x:row>
    <x:row r="6">
      <x:c r="A6" s="17" t="str">
        <x:v>Total project land</x:v>
      </x:c>
      <x:c r="B6" s="18" t="n">
        <x:v>20000</x:v>
      </x:c>
      <x:c r="C6" s="19" t="str">
        <x:v>m²</x:v>
      </x:c>
      <x:c r="D6" s="20" t="str">
        <x:v>User-provided: approx. 2 hectares</x:v>
      </x:c>
    </x:row>
    <x:row r="7">
      <x:c r="A7" s="17" t="str">
        <x:v>Land sale price / target value</x:v>
      </x:c>
      <x:c r="B7" s="18" t="n">
        <x:v>200</x:v>
      </x:c>
      <x:c r="C7" s="19" t="str">
        <x:v>EUR/m²</x:v>
      </x:c>
      <x:c r="D7" s="20" t="str">
        <x:v>User-provided</x:v>
      </x:c>
    </x:row>
    <x:row r="8">
      <x:c r="A8" s="17" t="str">
        <x:v>Land acquisition cost - Phase I</x:v>
      </x:c>
      <x:c r="B8" s="18" t="n">
        <x:v>2000000</x:v>
      </x:c>
      <x:c r="C8" s="19" t="str">
        <x:v>EUR</x:v>
      </x:c>
      <x:c r="D8" s="20" t="str">
        <x:v>Preliminary assumption from panel; editable</x:v>
      </x:c>
    </x:row>
    <x:row r="9">
      <x:c r="A9" s="17" t="str">
        <x:v>Urbanization &amp; infrastructure</x:v>
      </x:c>
      <x:c r="B9" s="18" t="n">
        <x:v>500000</x:v>
      </x:c>
      <x:c r="C9" s="19" t="str">
        <x:v>EUR</x:v>
      </x:c>
      <x:c r="D9" s="20" t="str">
        <x:v>Preliminary estimate; editable</x:v>
      </x:c>
    </x:row>
    <x:row r="10">
      <x:c r="A10" s="17" t="str">
        <x:v>Licenses &amp; permits</x:v>
      </x:c>
      <x:c r="B10" s="18" t="n">
        <x:v>100000</x:v>
      </x:c>
      <x:c r="C10" s="19" t="str">
        <x:v>EUR</x:v>
      </x:c>
      <x:c r="D10" s="20" t="str">
        <x:v>Preliminary estimate; editable</x:v>
      </x:c>
    </x:row>
    <x:row r="11">
      <x:c r="A11" s="17" t="str">
        <x:v>Nick Maltese Studio % of construction</x:v>
      </x:c>
      <x:c r="B11" s="21" t="n">
        <x:v>0.08</x:v>
      </x:c>
      <x:c r="C11" s="19" t="str">
        <x:v>%</x:v>
      </x:c>
      <x:c r="D11" s="20" t="str">
        <x:v>Engagement Agreement: Design Fee = 8% of TCW</x:v>
      </x:c>
    </x:row>
    <x:row r="12">
      <x:c r="A12" s="17" t="str">
        <x:v>Local architect &amp; engineering</x:v>
      </x:c>
      <x:c r="B12" s="18" t="n">
        <x:v>120000</x:v>
      </x:c>
      <x:c r="C12" s="19" t="str">
        <x:v>EUR</x:v>
      </x:c>
      <x:c r="D12" s="20" t="str">
        <x:v>Preliminary estimate; editable</x:v>
      </x:c>
    </x:row>
    <x:row r="13">
      <x:c r="A13" s="17" t="str">
        <x:v>Other technical professionals</x:v>
      </x:c>
      <x:c r="B13" s="18" t="n">
        <x:v>80000</x:v>
      </x:c>
      <x:c r="C13" s="19" t="str">
        <x:v>EUR</x:v>
      </x:c>
      <x:c r="D13" s="20" t="str">
        <x:v>Preliminary estimate; editable</x:v>
      </x:c>
    </x:row>
    <x:row r="14">
      <x:c r="A14" s="17" t="str">
        <x:v>Marketing &amp; branding</x:v>
      </x:c>
      <x:c r="B14" s="18" t="n">
        <x:v>150000</x:v>
      </x:c>
      <x:c r="C14" s="19" t="str">
        <x:v>EUR</x:v>
      </x:c>
      <x:c r="D14" s="20" t="str">
        <x:v>Preliminary estimate; editable</x:v>
      </x:c>
    </x:row>
    <x:row r="15">
      <x:c r="A15" s="17" t="str">
        <x:v>Sales commissions</x:v>
      </x:c>
      <x:c r="B15" s="21" t="n">
        <x:v>0.03</x:v>
      </x:c>
      <x:c r="C15" s="19" t="str">
        <x:v>% of sales</x:v>
      </x:c>
      <x:c r="D15" s="20" t="str">
        <x:v>Panel assumption</x:v>
      </x:c>
    </x:row>
    <x:row r="16">
      <x:c r="A16" s="17" t="str">
        <x:v>Legal &amp; notary</x:v>
      </x:c>
      <x:c r="B16" s="18" t="n">
        <x:v>50000</x:v>
      </x:c>
      <x:c r="C16" s="19" t="str">
        <x:v>EUR</x:v>
      </x:c>
      <x:c r="D16" s="20" t="str">
        <x:v>Preliminary estimate; editable</x:v>
      </x:c>
    </x:row>
    <x:row r="17">
      <x:c r="A17" s="17" t="str">
        <x:v>Administrative expenses</x:v>
      </x:c>
      <x:c r="B17" s="18" t="n">
        <x:v>50000</x:v>
      </x:c>
      <x:c r="C17" s="19" t="str">
        <x:v>EUR</x:v>
      </x:c>
      <x:c r="D17" s="20" t="str">
        <x:v>Preliminary estimate; editable</x:v>
      </x:c>
    </x:row>
    <x:row r="18">
      <x:c r="A18" s="17" t="str">
        <x:v>Insurance &amp; contingencies</x:v>
      </x:c>
      <x:c r="B18" s="21" t="n">
        <x:v>0.02</x:v>
      </x:c>
      <x:c r="C18" s="19" t="str">
        <x:v>% of sales</x:v>
      </x:c>
      <x:c r="D18" s="20" t="str">
        <x:v>Panel assumption</x:v>
      </x:c>
    </x:row>
    <x:row r="19">
      <x:c r="A19" s="17" t="str">
        <x:v>Tonino Lamborghini participation</x:v>
      </x:c>
      <x:c r="B19" s="21" t="n">
        <x:v>0.03</x:v>
      </x:c>
      <x:c r="C19" s="19" t="str">
        <x:v>% of profit</x:v>
      </x:c>
      <x:c r="D19" s="20" t="str">
        <x:v>User-provided: 3% of benefit</x:v>
      </x:c>
    </x:row>
    <x:row r="20">
      <x:c r="A20" s="17" t="str">
        <x:v>Brand introducer participation</x:v>
      </x:c>
      <x:c r="B20" s="21" t="n">
        <x:v>0.01</x:v>
      </x:c>
      <x:c r="C20" s="19" t="str">
        <x:v>% of profit</x:v>
      </x:c>
      <x:c r="D20" s="20" t="str">
        <x:v>User-provided: approx. 1% of benefit</x:v>
      </x:c>
    </x:row>
    <x:row r="21">
      <x:c r="A21" s="17" t="str">
        <x:v>Pre-sales</x:v>
      </x:c>
      <x:c r="B21" s="21" t="n">
        <x:v>0.3</x:v>
      </x:c>
      <x:c r="C21" s="19" t="str">
        <x:v>% of sales</x:v>
      </x:c>
      <x:c r="D21" s="20" t="str">
        <x:v>Panel financing structure</x:v>
      </x:c>
    </x:row>
    <x:row r="22">
      <x:c r="A22" s="17" t="str">
        <x:v>Partner equity contribution</x:v>
      </x:c>
      <x:c r="B22" s="21" t="n">
        <x:v>0.35</x:v>
      </x:c>
      <x:c r="C22" s="19" t="str">
        <x:v>% of sales</x:v>
      </x:c>
      <x:c r="D22" s="20" t="str">
        <x:v>Panel financing structure</x:v>
      </x:c>
    </x:row>
    <x:row r="23">
      <x:c r="A23" s="17" t="str">
        <x:v>Debt / bridge need</x:v>
      </x:c>
      <x:c r="B23" s="21" t="n">
        <x:v>0.25</x:v>
      </x:c>
      <x:c r="C23" s="19" t="str">
        <x:v>% of sales</x:v>
      </x:c>
      <x:c r="D23" s="20" t="str">
        <x:v>Panel financing structure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14.880000114440918" hidden="0" customWidth="1"/>
  </x:cols>
  <x:sheetData>
    <x:row r="1">
      <x:c r="A1" s="3" t="str">
        <x:v>CALCULATION</x:v>
      </x:c>
      <x:c r="B1" s="3" t="str">
        <x:v>FORMULA / VALUE</x:v>
      </x:c>
    </x:row>
    <x:row r="2">
      <x:c r="A2" t="str">
        <x:v>Gross Sales</x:v>
      </x:c>
      <x:c r="B2" s="308" t="n">
        <x:f>Assumptions!B2*Assumptions!B3</x:f>
        <x:v>10000000</x:v>
      </x:c>
    </x:row>
    <x:row r="3">
      <x:c r="A3" t="str">
        <x:v>Construction</x:v>
      </x:c>
      <x:c r="B3" s="308" t="n">
        <x:f>Assumptions!B2*Assumptions!B5</x:f>
        <x:v>3000000</x:v>
      </x:c>
    </x:row>
    <x:row r="4">
      <x:c r="A4" t="str">
        <x:v>Land Acquisition</x:v>
      </x:c>
      <x:c r="B4" s="308" t="n">
        <x:f>Assumptions!B8</x:f>
        <x:v>2000000</x:v>
      </x:c>
    </x:row>
    <x:row r="5">
      <x:c r="A5" t="str">
        <x:v>Urbanization &amp; Infrastructure</x:v>
      </x:c>
      <x:c r="B5" s="308" t="n">
        <x:f>Assumptions!B9</x:f>
        <x:v>500000</x:v>
      </x:c>
    </x:row>
    <x:row r="6">
      <x:c r="A6" t="str">
        <x:v>Licenses &amp; Permits</x:v>
      </x:c>
      <x:c r="B6" s="308" t="n">
        <x:f>Assumptions!B10</x:f>
        <x:v>100000</x:v>
      </x:c>
    </x:row>
    <x:row r="7">
      <x:c r="A7" t="str">
        <x:v>Total Direct Costs</x:v>
      </x:c>
      <x:c r="B7" s="308" t="n">
        <x:f>SUM(B3:B6)</x:f>
        <x:v>5600000</x:v>
      </x:c>
    </x:row>
    <x:row r="8">
      <x:c r="A8" t="str">
        <x:v>Nick Maltese Studio</x:v>
      </x:c>
      <x:c r="B8" s="308" t="n">
        <x:f>B3*Assumptions!B11</x:f>
        <x:v>240000</x:v>
      </x:c>
    </x:row>
    <x:row r="9">
      <x:c r="A9" t="str">
        <x:v>Local Architect &amp; Engineering</x:v>
      </x:c>
      <x:c r="B9" s="308" t="n">
        <x:f>Assumptions!B12</x:f>
        <x:v>120000</x:v>
      </x:c>
    </x:row>
    <x:row r="10">
      <x:c r="A10" t="str">
        <x:v>Other Technical Professionals</x:v>
      </x:c>
      <x:c r="B10" s="308" t="n">
        <x:f>Assumptions!B13</x:f>
        <x:v>80000</x:v>
      </x:c>
    </x:row>
    <x:row r="11">
      <x:c r="A11" t="str">
        <x:v>Total Professional Fees</x:v>
      </x:c>
      <x:c r="B11" s="308" t="n">
        <x:f>SUM(B8:B10)</x:f>
        <x:v>440000</x:v>
      </x:c>
    </x:row>
    <x:row r="12">
      <x:c r="A12" t="str">
        <x:v>Marketing &amp; Branding</x:v>
      </x:c>
      <x:c r="B12" s="308" t="n">
        <x:f>Assumptions!B14</x:f>
        <x:v>150000</x:v>
      </x:c>
    </x:row>
    <x:row r="13">
      <x:c r="A13" t="str">
        <x:v>Sales Commissions</x:v>
      </x:c>
      <x:c r="B13" s="308" t="n">
        <x:f>B2*Assumptions!B15</x:f>
        <x:v>300000</x:v>
      </x:c>
    </x:row>
    <x:row r="14">
      <x:c r="A14" t="str">
        <x:v>Legal &amp; Notary</x:v>
      </x:c>
      <x:c r="B14" s="308" t="n">
        <x:f>Assumptions!B16</x:f>
        <x:v>50000</x:v>
      </x:c>
    </x:row>
    <x:row r="15">
      <x:c r="A15" t="str">
        <x:v>Administrative Expenses</x:v>
      </x:c>
      <x:c r="B15" s="308" t="n">
        <x:f>Assumptions!B17</x:f>
        <x:v>50000</x:v>
      </x:c>
    </x:row>
    <x:row r="16">
      <x:c r="A16" t="str">
        <x:v>Insurance &amp; Contingencies</x:v>
      </x:c>
      <x:c r="B16" s="308" t="n">
        <x:f>B2*Assumptions!B18</x:f>
        <x:v>200000</x:v>
      </x:c>
    </x:row>
    <x:row r="17">
      <x:c r="A17" t="str">
        <x:v>Total Commercial &amp; Admin</x:v>
      </x:c>
      <x:c r="B17" s="308" t="n">
        <x:f>SUM(B12:B16)</x:f>
        <x:v>750000</x:v>
      </x:c>
    </x:row>
    <x:row r="18">
      <x:c r="A18" t="str">
        <x:v>Total Project Cost</x:v>
      </x:c>
      <x:c r="B18" s="308" t="n">
        <x:f>B7+B11+B17</x:f>
        <x:v>6790000</x:v>
      </x:c>
    </x:row>
    <x:row r="19">
      <x:c r="A19" t="str">
        <x:v>Operating Profit Before Splits</x:v>
      </x:c>
      <x:c r="B19" s="308" t="n">
        <x:f>B2-B18</x:f>
        <x:v>3210000</x:v>
      </x:c>
    </x:row>
    <x:row r="20">
      <x:c r="A20" t="str">
        <x:v>Tonino Lamborghini Split</x:v>
      </x:c>
      <x:c r="B20" s="308" t="n">
        <x:f>B19*Assumptions!B19</x:f>
        <x:v>96300</x:v>
      </x:c>
    </x:row>
    <x:row r="21">
      <x:c r="A21" t="str">
        <x:v>Brand Introducer Split</x:v>
      </x:c>
      <x:c r="B21" s="308" t="n">
        <x:f>B19*Assumptions!B20</x:f>
        <x:v>32100</x:v>
      </x:c>
    </x:row>
    <x:row r="22">
      <x:c r="A22" t="str">
        <x:v>Net Profit LAWANG</x:v>
      </x:c>
      <x:c r="B22" s="308" t="n">
        <x:f>B19-B20-B21</x:f>
        <x:v>3081600</x:v>
      </x:c>
    </x:row>
    <x:row r="23">
      <x:c r="A23" t="str">
        <x:v>Net Margin</x:v>
      </x:c>
      <x:c r="B23" s="309" t="n">
        <x:f>B22/B2</x:f>
        <x:v>0.30816</x:v>
      </x:c>
    </x:row>
    <x:row r="24">
      <x:c r="A24" t="str">
        <x:v>ROI on Total Cost</x:v>
      </x:c>
      <x:c r="B24" s="309" t="n">
        <x:f>B22/B18</x:f>
        <x:v>0.4538438880706922</x:v>
      </x:c>
    </x:row>
    <x:row r="25">
      <x:c r="A25" t="str">
        <x:v>ROI on Investment</x:v>
      </x:c>
      <x:c r="B25" s="309" t="n">
        <x:f>B22/(B2*Assumptions!B22+B2*Assumptions!B23)</x:f>
        <x:v>0.5136</x:v>
      </x:c>
    </x:row>
    <x:row r="26">
      <x:c r="A26" t="str">
        <x:v>Potential Land Value</x:v>
      </x:c>
      <x:c r="B26" s="308" t="n">
        <x:f>Assumptions!B6*Assumptions!B7</x:f>
        <x:v>4000000</x:v>
      </x:c>
    </x:row>
    <x:row r="27">
      <x:c r="A27" t="str">
        <x:v>Land Upside</x:v>
      </x:c>
      <x:c r="B27" s="308" t="n">
        <x:f>B26-Assumptions!B8</x:f>
        <x:v>2000000</x:v>
      </x:c>
    </x:row>
  </x:sheetData>
  <x:pageMargins left="0.7" right="0.7" top="0.75" bottom="0.75" header="0.3" footer="0.3"/>
</x:worksheet>
</file>